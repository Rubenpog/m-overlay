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" sheetId="1" state="visible" r:id="rId3"/>
    <sheet name="Summary" sheetId="2" state="visible" r:id="rId4"/>
    <sheet name="GK" sheetId="3" state="visible" r:id="rId5"/>
    <sheet name="CB" sheetId="4" state="visible" r:id="rId6"/>
    <sheet name="LB" sheetId="5" state="visible" r:id="rId7"/>
    <sheet name="RB" sheetId="6" state="visible" r:id="rId8"/>
    <sheet name="DMF" sheetId="7" state="visible" r:id="rId9"/>
    <sheet name="CMF" sheetId="8" state="visible" r:id="rId10"/>
    <sheet name="LMF" sheetId="9" state="visible" r:id="rId11"/>
    <sheet name="RMF" sheetId="10" state="visible" r:id="rId12"/>
    <sheet name="AMF" sheetId="11" state="visible" r:id="rId13"/>
    <sheet name="LWF" sheetId="12" state="visible" r:id="rId14"/>
    <sheet name="RWF" sheetId="13" state="visible" r:id="rId15"/>
    <sheet name="SS" sheetId="14" state="visible" r:id="rId16"/>
    <sheet name="CF" sheetId="15" state="visible" r:id="rId17"/>
  </sheets>
  <definedNames>
    <definedName function="false" hidden="true" localSheetId="0" name="_xlnm._FilterDatabase" vbProcedure="false">Overall!$A$1:$F$419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<sst xmlns="http://schemas.openxmlformats.org/spreadsheetml/2006/main" count="937" uniqueCount="467">
  <si>
    <t xml:space="preserve">Rank</t>
  </si>
  <si>
    <t xml:space="preserve">Name</t>
  </si>
  <si>
    <t xml:space="preserve">Role</t>
  </si>
  <si>
    <t xml:space="preserve">Role (full)</t>
  </si>
  <si>
    <t xml:space="preserve">Area</t>
  </si>
  <si>
    <t xml:space="preserve">Score</t>
  </si>
  <si>
    <t xml:space="preserve">key</t>
  </si>
  <si>
    <t xml:space="preserve">lookup</t>
  </si>
  <si>
    <t xml:space="preserve">Porunga</t>
  </si>
  <si>
    <t xml:space="preserve">GK</t>
  </si>
  <si>
    <t xml:space="preserve">Gojo</t>
  </si>
  <si>
    <t xml:space="preserve">CMF</t>
  </si>
  <si>
    <t xml:space="preserve">Uchiha itachi</t>
  </si>
  <si>
    <t xml:space="preserve">Jiren</t>
  </si>
  <si>
    <t xml:space="preserve">Super Totti</t>
  </si>
  <si>
    <t xml:space="preserve">LWF</t>
  </si>
  <si>
    <t xml:space="preserve">Super Totti og</t>
  </si>
  <si>
    <t xml:space="preserve">RWF</t>
  </si>
  <si>
    <t xml:space="preserve">Super Totti 2</t>
  </si>
  <si>
    <t xml:space="preserve">SS</t>
  </si>
  <si>
    <t xml:space="preserve">Jesus</t>
  </si>
  <si>
    <t xml:space="preserve">CF</t>
  </si>
  <si>
    <t xml:space="preserve">Sasuke</t>
  </si>
  <si>
    <t xml:space="preserve">LB</t>
  </si>
  <si>
    <t xml:space="preserve">Goku</t>
  </si>
  <si>
    <t xml:space="preserve">Vegeta</t>
  </si>
  <si>
    <t xml:space="preserve">Isaac netero</t>
  </si>
  <si>
    <t xml:space="preserve">Rock Lee</t>
  </si>
  <si>
    <t xml:space="preserve">RMF</t>
  </si>
  <si>
    <t xml:space="preserve">Shenron</t>
  </si>
  <si>
    <t xml:space="preserve">Whis</t>
  </si>
  <si>
    <t xml:space="preserve">AMF</t>
  </si>
  <si>
    <t xml:space="preserve">Frieza</t>
  </si>
  <si>
    <t xml:space="preserve">Ruben pog</t>
  </si>
  <si>
    <t xml:space="preserve">Broly</t>
  </si>
  <si>
    <t xml:space="preserve">Meruem</t>
  </si>
  <si>
    <t xml:space="preserve">Hulk</t>
  </si>
  <si>
    <t xml:space="preserve">Android 16</t>
  </si>
  <si>
    <t xml:space="preserve">CB</t>
  </si>
  <si>
    <t xml:space="preserve">Omni man</t>
  </si>
  <si>
    <t xml:space="preserve">Superman</t>
  </si>
  <si>
    <t xml:space="preserve">Dada</t>
  </si>
  <si>
    <t xml:space="preserve">LMF</t>
  </si>
  <si>
    <t xml:space="preserve">Kid buu</t>
  </si>
  <si>
    <t xml:space="preserve">Naruto</t>
  </si>
  <si>
    <t xml:space="preserve">Macaco monkey</t>
  </si>
  <si>
    <t xml:space="preserve">Andreas</t>
  </si>
  <si>
    <t xml:space="preserve">Toppo</t>
  </si>
  <si>
    <t xml:space="preserve">Battle beast</t>
  </si>
  <si>
    <t xml:space="preserve">Tom T Rosa</t>
  </si>
  <si>
    <t xml:space="preserve">Pietro frisoni</t>
  </si>
  <si>
    <t xml:space="preserve">DMF</t>
  </si>
  <si>
    <t xml:space="preserve">Deku</t>
  </si>
  <si>
    <t xml:space="preserve">Zep</t>
  </si>
  <si>
    <t xml:space="preserve">Luffy</t>
  </si>
  <si>
    <t xml:space="preserve">Dyspo</t>
  </si>
  <si>
    <t xml:space="preserve">Tsubasa</t>
  </si>
  <si>
    <t xml:space="preserve">Saitama</t>
  </si>
  <si>
    <t xml:space="preserve">Omega shenron</t>
  </si>
  <si>
    <t xml:space="preserve">Michael Jordan</t>
  </si>
  <si>
    <t xml:space="preserve">Il cippe</t>
  </si>
  <si>
    <t xml:space="preserve">RB</t>
  </si>
  <si>
    <t xml:space="preserve">Piccolo</t>
  </si>
  <si>
    <t xml:space="preserve">All might</t>
  </si>
  <si>
    <t xml:space="preserve">Dio brando</t>
  </si>
  <si>
    <t xml:space="preserve">Beerus</t>
  </si>
  <si>
    <t xml:space="preserve">Papa monkey</t>
  </si>
  <si>
    <t xml:space="preserve">Skips</t>
  </si>
  <si>
    <t xml:space="preserve">Gohan</t>
  </si>
  <si>
    <t xml:space="preserve">Cell</t>
  </si>
  <si>
    <t xml:space="preserve">Homer Simpson</t>
  </si>
  <si>
    <t xml:space="preserve">Lebron</t>
  </si>
  <si>
    <t xml:space="preserve">Dracula</t>
  </si>
  <si>
    <t xml:space="preserve">Scimmia Monkey</t>
  </si>
  <si>
    <t xml:space="preserve">Qarrad Monkey</t>
  </si>
  <si>
    <t xml:space="preserve">Hit</t>
  </si>
  <si>
    <t xml:space="preserve">Mario</t>
  </si>
  <si>
    <t xml:space="preserve">Goku black</t>
  </si>
  <si>
    <t xml:space="preserve">Kara</t>
  </si>
  <si>
    <t xml:space="preserve">Volpescu</t>
  </si>
  <si>
    <t xml:space="preserve">Endeavor</t>
  </si>
  <si>
    <t xml:space="preserve">Geralt of rivia</t>
  </si>
  <si>
    <t xml:space="preserve">Eriko biba</t>
  </si>
  <si>
    <t xml:space="preserve">Super buu</t>
  </si>
  <si>
    <t xml:space="preserve">Bakugo</t>
  </si>
  <si>
    <t xml:space="preserve">Kyrie Irving</t>
  </si>
  <si>
    <t xml:space="preserve">Luca Josephiani</t>
  </si>
  <si>
    <t xml:space="preserve">Hisoka Morow</t>
  </si>
  <si>
    <t xml:space="preserve">Wakabayashi</t>
  </si>
  <si>
    <t xml:space="preserve">Tommo</t>
  </si>
  <si>
    <t xml:space="preserve">Poly</t>
  </si>
  <si>
    <t xml:space="preserve">Rotunno</t>
  </si>
  <si>
    <t xml:space="preserve">Victorlaszlo</t>
  </si>
  <si>
    <t xml:space="preserve">De Rossi</t>
  </si>
  <si>
    <t xml:space="preserve">Zoro</t>
  </si>
  <si>
    <t xml:space="preserve">Giorno Giovanna</t>
  </si>
  <si>
    <t xml:space="preserve">Todoroki</t>
  </si>
  <si>
    <t xml:space="preserve">Jotaro</t>
  </si>
  <si>
    <t xml:space="preserve">Bartholomew Kuma</t>
  </si>
  <si>
    <t xml:space="preserve">Sullivan</t>
  </si>
  <si>
    <t xml:space="preserve">Nico pertici</t>
  </si>
  <si>
    <t xml:space="preserve">Zanghief</t>
  </si>
  <si>
    <t xml:space="preserve">Matsuyama</t>
  </si>
  <si>
    <t xml:space="preserve">M. Bison</t>
  </si>
  <si>
    <t xml:space="preserve">Kevin Durant</t>
  </si>
  <si>
    <t xml:space="preserve">Ezeonu</t>
  </si>
  <si>
    <t xml:space="preserve">Alucard</t>
  </si>
  <si>
    <t xml:space="preserve">Sonic</t>
  </si>
  <si>
    <t xml:space="preserve">Ryu</t>
  </si>
  <si>
    <t xml:space="preserve">Ectoplasm</t>
  </si>
  <si>
    <t xml:space="preserve">Mark Evans</t>
  </si>
  <si>
    <t xml:space="preserve">Andrea Discepolo</t>
  </si>
  <si>
    <t xml:space="preserve">Nappa</t>
  </si>
  <si>
    <t xml:space="preserve">Francesca Martella</t>
  </si>
  <si>
    <t xml:space="preserve">Nami</t>
  </si>
  <si>
    <t xml:space="preserve">Vking</t>
  </si>
  <si>
    <t xml:space="preserve">Yoda</t>
  </si>
  <si>
    <t xml:space="preserve">Sephirot</t>
  </si>
  <si>
    <t xml:space="preserve">Spiderman</t>
  </si>
  <si>
    <t xml:space="preserve">Luigi</t>
  </si>
  <si>
    <t xml:space="preserve">Androide 17</t>
  </si>
  <si>
    <t xml:space="preserve">Dario Moccia</t>
  </si>
  <si>
    <t xml:space="preserve">Ganondorf</t>
  </si>
  <si>
    <t xml:space="preserve">captain America</t>
  </si>
  <si>
    <t xml:space="preserve">Shaq</t>
  </si>
  <si>
    <t xml:space="preserve">Masella</t>
  </si>
  <si>
    <t xml:space="preserve">Selkie</t>
  </si>
  <si>
    <t xml:space="preserve">Usain Bolt</t>
  </si>
  <si>
    <t xml:space="preserve">Portgas D ace</t>
  </si>
  <si>
    <t xml:space="preserve">Nanni</t>
  </si>
  <si>
    <t xml:space="preserve">Gervinho Prime</t>
  </si>
  <si>
    <t xml:space="preserve">Bart Simpson</t>
  </si>
  <si>
    <t xml:space="preserve">John cena</t>
  </si>
  <si>
    <t xml:space="preserve">Usopp</t>
  </si>
  <si>
    <t xml:space="preserve">Chewbacca</t>
  </si>
  <si>
    <t xml:space="preserve">Seto Kaiba</t>
  </si>
  <si>
    <t xml:space="preserve">Brook</t>
  </si>
  <si>
    <t xml:space="preserve">Rob mcquack</t>
  </si>
  <si>
    <t xml:space="preserve">Chopper</t>
  </si>
  <si>
    <t xml:space="preserve">Trunks</t>
  </si>
  <si>
    <t xml:space="preserve">Yami yugi</t>
  </si>
  <si>
    <t xml:space="preserve">Elmo</t>
  </si>
  <si>
    <t xml:space="preserve">Pitbull</t>
  </si>
  <si>
    <t xml:space="preserve">Nico robin</t>
  </si>
  <si>
    <t xml:space="preserve">Kojiro hyuga</t>
  </si>
  <si>
    <t xml:space="preserve">Peter griffin</t>
  </si>
  <si>
    <t xml:space="preserve">Kermit</t>
  </si>
  <si>
    <t xml:space="preserve">Xavier foster</t>
  </si>
  <si>
    <t xml:space="preserve">Diavolo</t>
  </si>
  <si>
    <t xml:space="preserve">Mike Wazowski</t>
  </si>
  <si>
    <t xml:space="preserve">Josuke higashikata</t>
  </si>
  <si>
    <t xml:space="preserve">Funky Kong</t>
  </si>
  <si>
    <t xml:space="preserve">Meliodas</t>
  </si>
  <si>
    <t xml:space="preserve">Cabba</t>
  </si>
  <si>
    <t xml:space="preserve">Flash</t>
  </si>
  <si>
    <t xml:space="preserve">Kurapika</t>
  </si>
  <si>
    <t xml:space="preserve">Mario Sturniolo</t>
  </si>
  <si>
    <t xml:space="preserve">Guile</t>
  </si>
  <si>
    <t xml:space="preserve">Ichigo</t>
  </si>
  <si>
    <t xml:space="preserve">Mickey Mouse</t>
  </si>
  <si>
    <t xml:space="preserve">Batman</t>
  </si>
  <si>
    <t xml:space="preserve">Axel blaze</t>
  </si>
  <si>
    <t xml:space="preserve">Invincible</t>
  </si>
  <si>
    <t xml:space="preserve">Shadow</t>
  </si>
  <si>
    <t xml:space="preserve">Jonathan Joestar</t>
  </si>
  <si>
    <t xml:space="preserve">Maldonado</t>
  </si>
  <si>
    <t xml:space="preserve">Jozu</t>
  </si>
  <si>
    <t xml:space="preserve">Thor stoutberg</t>
  </si>
  <si>
    <t xml:space="preserve">Bull</t>
  </si>
  <si>
    <t xml:space="preserve">Eijiro</t>
  </si>
  <si>
    <t xml:space="preserve">Shrek</t>
  </si>
  <si>
    <t xml:space="preserve">Zamasu</t>
  </si>
  <si>
    <t xml:space="preserve">Wario</t>
  </si>
  <si>
    <t xml:space="preserve">Tien</t>
  </si>
  <si>
    <t xml:space="preserve">Cyborg</t>
  </si>
  <si>
    <t xml:space="preserve">Yusei Fudo</t>
  </si>
  <si>
    <t xml:space="preserve">Ging freecss</t>
  </si>
  <si>
    <t xml:space="preserve">Kirito</t>
  </si>
  <si>
    <t xml:space="preserve">Deathstroke</t>
  </si>
  <si>
    <t xml:space="preserve">Shingo aoi</t>
  </si>
  <si>
    <t xml:space="preserve">Totti</t>
  </si>
  <si>
    <t xml:space="preserve">Crash bandicoot</t>
  </si>
  <si>
    <t xml:space="preserve">Paperino</t>
  </si>
  <si>
    <t xml:space="preserve">Sonic.exe</t>
  </si>
  <si>
    <t xml:space="preserve">Charmander</t>
  </si>
  <si>
    <t xml:space="preserve">Daffy Duck</t>
  </si>
  <si>
    <t xml:space="preserve">Killua</t>
  </si>
  <si>
    <t xml:space="preserve">Torcia umana</t>
  </si>
  <si>
    <t xml:space="preserve">Gon freecs</t>
  </si>
  <si>
    <t xml:space="preserve">Enrique iglesias</t>
  </si>
  <si>
    <t xml:space="preserve">Chun li</t>
  </si>
  <si>
    <t xml:space="preserve">Mordecai</t>
  </si>
  <si>
    <t xml:space="preserve">Bugs bunny</t>
  </si>
  <si>
    <t xml:space="preserve">Captain falcon</t>
  </si>
  <si>
    <t xml:space="preserve">Pete</t>
  </si>
  <si>
    <t xml:space="preserve">Franky</t>
  </si>
  <si>
    <t xml:space="preserve">Spike Spiegel</t>
  </si>
  <si>
    <t xml:space="preserve">C-3P0</t>
  </si>
  <si>
    <t xml:space="preserve">The Grinch</t>
  </si>
  <si>
    <t xml:space="preserve">The immortal</t>
  </si>
  <si>
    <t xml:space="preserve">Joseph joestar</t>
  </si>
  <si>
    <t xml:space="preserve">Barbanera</t>
  </si>
  <si>
    <t xml:space="preserve">T rex</t>
  </si>
  <si>
    <t xml:space="preserve">Cookie monster</t>
  </si>
  <si>
    <t xml:space="preserve">Caesar</t>
  </si>
  <si>
    <t xml:space="preserve">Snoop dogg</t>
  </si>
  <si>
    <t xml:space="preserve">Champa</t>
  </si>
  <si>
    <t xml:space="preserve">Goofy</t>
  </si>
  <si>
    <t xml:space="preserve">Venom</t>
  </si>
  <si>
    <t xml:space="preserve">Marco</t>
  </si>
  <si>
    <t xml:space="preserve">Apu</t>
  </si>
  <si>
    <t xml:space="preserve">Lisa Simpson</t>
  </si>
  <si>
    <t xml:space="preserve">Silver</t>
  </si>
  <si>
    <t xml:space="preserve">Yoshikage kira</t>
  </si>
  <si>
    <t xml:space="preserve">Aizawa</t>
  </si>
  <si>
    <t xml:space="preserve">Quicksilver</t>
  </si>
  <si>
    <t xml:space="preserve">Samus</t>
  </si>
  <si>
    <t xml:space="preserve">Hamilton</t>
  </si>
  <si>
    <t xml:space="preserve">Megamind</t>
  </si>
  <si>
    <t xml:space="preserve">Cooler</t>
  </si>
  <si>
    <t xml:space="preserve">Dabura</t>
  </si>
  <si>
    <t xml:space="preserve">Uub</t>
  </si>
  <si>
    <t xml:space="preserve">Kratos</t>
  </si>
  <si>
    <t xml:space="preserve">El primo</t>
  </si>
  <si>
    <t xml:space="preserve">Deadpool</t>
  </si>
  <si>
    <t xml:space="preserve">Juan</t>
  </si>
  <si>
    <t xml:space="preserve">Sanji</t>
  </si>
  <si>
    <t xml:space="preserve">Hurley Kane</t>
  </si>
  <si>
    <t xml:space="preserve">Chance the rapper</t>
  </si>
  <si>
    <t xml:space="preserve">Black panther</t>
  </si>
  <si>
    <t xml:space="preserve">Speedy Gonzales</t>
  </si>
  <si>
    <t xml:space="preserve">Best jeanist</t>
  </si>
  <si>
    <t xml:space="preserve">Pumba</t>
  </si>
  <si>
    <t xml:space="preserve">Magneto</t>
  </si>
  <si>
    <t xml:space="preserve">Knuckles</t>
  </si>
  <si>
    <t xml:space="preserve">Yugi muto</t>
  </si>
  <si>
    <t xml:space="preserve">Poco</t>
  </si>
  <si>
    <t xml:space="preserve">Squirtle</t>
  </si>
  <si>
    <t xml:space="preserve">Bruno bucciarari</t>
  </si>
  <si>
    <t xml:space="preserve">Eren jaeger</t>
  </si>
  <si>
    <t xml:space="preserve">Ratchet</t>
  </si>
  <si>
    <t xml:space="preserve">Supergirl</t>
  </si>
  <si>
    <t xml:space="preserve">Metal Sonic</t>
  </si>
  <si>
    <t xml:space="preserve">Atom eve</t>
  </si>
  <si>
    <t xml:space="preserve">Michael Jackson</t>
  </si>
  <si>
    <t xml:space="preserve">Pikachu</t>
  </si>
  <si>
    <t xml:space="preserve">Burter</t>
  </si>
  <si>
    <t xml:space="preserve">Timbershow</t>
  </si>
  <si>
    <t xml:space="preserve">Judai yuki</t>
  </si>
  <si>
    <t xml:space="preserve">Yoshi</t>
  </si>
  <si>
    <t xml:space="preserve">Kobe bryant</t>
  </si>
  <si>
    <t xml:space="preserve">King Cold</t>
  </si>
  <si>
    <t xml:space="preserve">Doomsday</t>
  </si>
  <si>
    <t xml:space="preserve">Foghorn Leghorn</t>
  </si>
  <si>
    <t xml:space="preserve">Rikido</t>
  </si>
  <si>
    <t xml:space="preserve">Moe</t>
  </si>
  <si>
    <t xml:space="preserve">Waluigi</t>
  </si>
  <si>
    <t xml:space="preserve">Jose Angel</t>
  </si>
  <si>
    <t xml:space="preserve">Velociraptor</t>
  </si>
  <si>
    <t xml:space="preserve">Heigoro</t>
  </si>
  <si>
    <t xml:space="preserve">Crow</t>
  </si>
  <si>
    <t xml:space="preserve">Leone Abbacchio</t>
  </si>
  <si>
    <t xml:space="preserve">Chazz princeton</t>
  </si>
  <si>
    <t xml:space="preserve">Pjanic</t>
  </si>
  <si>
    <t xml:space="preserve">Ironman</t>
  </si>
  <si>
    <t xml:space="preserve">Robot</t>
  </si>
  <si>
    <t xml:space="preserve">Light yagami</t>
  </si>
  <si>
    <t xml:space="preserve">Rex splode</t>
  </si>
  <si>
    <t xml:space="preserve">Leon</t>
  </si>
  <si>
    <t xml:space="preserve">Metal frieza</t>
  </si>
  <si>
    <t xml:space="preserve">Jose Carioca</t>
  </si>
  <si>
    <t xml:space="preserve">Jude sharp</t>
  </si>
  <si>
    <t xml:space="preserve">Impostor</t>
  </si>
  <si>
    <t xml:space="preserve">Goten</t>
  </si>
  <si>
    <t xml:space="preserve">Kid trunks</t>
  </si>
  <si>
    <t xml:space="preserve">Slenderman</t>
  </si>
  <si>
    <t xml:space="preserve">Fox</t>
  </si>
  <si>
    <t xml:space="preserve">Bowser</t>
  </si>
  <si>
    <t xml:space="preserve">Chief Wiggum</t>
  </si>
  <si>
    <t xml:space="preserve">Mortis</t>
  </si>
  <si>
    <t xml:space="preserve">Todd Ironside</t>
  </si>
  <si>
    <t xml:space="preserve">Guido mista</t>
  </si>
  <si>
    <t xml:space="preserve">Krusty il clown</t>
  </si>
  <si>
    <t xml:space="preserve">Verstappen</t>
  </si>
  <si>
    <t xml:space="preserve">Recoome</t>
  </si>
  <si>
    <t xml:space="preserve">Brudisso</t>
  </si>
  <si>
    <t xml:space="preserve">Heinze</t>
  </si>
  <si>
    <t xml:space="preserve">Johnny Bravo</t>
  </si>
  <si>
    <t xml:space="preserve">Simba</t>
  </si>
  <si>
    <t xml:space="preserve">Marge Simpson</t>
  </si>
  <si>
    <t xml:space="preserve">Bert</t>
  </si>
  <si>
    <t xml:space="preserve">Dynamike</t>
  </si>
  <si>
    <t xml:space="preserve">Green Arrow</t>
  </si>
  <si>
    <t xml:space="preserve">Cassetti</t>
  </si>
  <si>
    <t xml:space="preserve">Pb&amp;J Time!!</t>
  </si>
  <si>
    <t xml:space="preserve">Shelly</t>
  </si>
  <si>
    <t xml:space="preserve">Taz</t>
  </si>
  <si>
    <t xml:space="preserve">Jay Z</t>
  </si>
  <si>
    <t xml:space="preserve">Timon</t>
  </si>
  <si>
    <t xml:space="preserve">Rigby</t>
  </si>
  <si>
    <t xml:space="preserve">Tokoyami</t>
  </si>
  <si>
    <t xml:space="preserve">Curioso come george</t>
  </si>
  <si>
    <t xml:space="preserve">Blossom</t>
  </si>
  <si>
    <t xml:space="preserve">Fall guy</t>
  </si>
  <si>
    <t xml:space="preserve">Colt</t>
  </si>
  <si>
    <t xml:space="preserve">Ash Ketchum</t>
  </si>
  <si>
    <t xml:space="preserve">Ginyu</t>
  </si>
  <si>
    <t xml:space="preserve">Beast</t>
  </si>
  <si>
    <t xml:space="preserve">Lord Slug</t>
  </si>
  <si>
    <t xml:space="preserve">Parappa</t>
  </si>
  <si>
    <t xml:space="preserve">Psy</t>
  </si>
  <si>
    <t xml:space="preserve">Clank</t>
  </si>
  <si>
    <t xml:space="preserve">Mr satan</t>
  </si>
  <si>
    <t xml:space="preserve">Wolverine</t>
  </si>
  <si>
    <t xml:space="preserve">Joker</t>
  </si>
  <si>
    <t xml:space="preserve">Tweety</t>
  </si>
  <si>
    <t xml:space="preserve">Greenway</t>
  </si>
  <si>
    <t xml:space="preserve">Sideshow Bob</t>
  </si>
  <si>
    <t xml:space="preserve">Raditz</t>
  </si>
  <si>
    <t xml:space="preserve">Milhouse</t>
  </si>
  <si>
    <t xml:space="preserve">Narancia</t>
  </si>
  <si>
    <t xml:space="preserve">Gary</t>
  </si>
  <si>
    <t xml:space="preserve">Buttercup</t>
  </si>
  <si>
    <t xml:space="preserve">Great ape</t>
  </si>
  <si>
    <t xml:space="preserve">Cydonia</t>
  </si>
  <si>
    <t xml:space="preserve">Ceasar zeppeli</t>
  </si>
  <si>
    <t xml:space="preserve">Zarbon</t>
  </si>
  <si>
    <t xml:space="preserve">Obi wan</t>
  </si>
  <si>
    <t xml:space="preserve">Roadrunner</t>
  </si>
  <si>
    <t xml:space="preserve">Firestorm</t>
  </si>
  <si>
    <t xml:space="preserve">Yuma tsukumo</t>
  </si>
  <si>
    <t xml:space="preserve">Kirby</t>
  </si>
  <si>
    <t xml:space="preserve">Falco</t>
  </si>
  <si>
    <t xml:space="preserve">Weegee</t>
  </si>
  <si>
    <t xml:space="preserve">Classic Sonic</t>
  </si>
  <si>
    <t xml:space="preserve">Kdot</t>
  </si>
  <si>
    <t xml:space="preserve">Master chief</t>
  </si>
  <si>
    <t xml:space="preserve">King Dedede</t>
  </si>
  <si>
    <t xml:space="preserve">Megazord</t>
  </si>
  <si>
    <t xml:space="preserve">Harambe</t>
  </si>
  <si>
    <t xml:space="preserve">Snorlax</t>
  </si>
  <si>
    <t xml:space="preserve">Frank</t>
  </si>
  <si>
    <t xml:space="preserve">Spike</t>
  </si>
  <si>
    <t xml:space="preserve">Giulio Cesare</t>
  </si>
  <si>
    <t xml:space="preserve">Winnie the pooh</t>
  </si>
  <si>
    <t xml:space="preserve">Re boo</t>
  </si>
  <si>
    <t xml:space="preserve">Tom</t>
  </si>
  <si>
    <t xml:space="preserve">Snake</t>
  </si>
  <si>
    <t xml:space="preserve">Aquaman</t>
  </si>
  <si>
    <t xml:space="preserve">Brock</t>
  </si>
  <si>
    <t xml:space="preserve">Ernie</t>
  </si>
  <si>
    <t xml:space="preserve">Beast boy</t>
  </si>
  <si>
    <t xml:space="preserve">Mortimer Mouse</t>
  </si>
  <si>
    <t xml:space="preserve">Link</t>
  </si>
  <si>
    <t xml:space="preserve">Doom guy</t>
  </si>
  <si>
    <t xml:space="preserve">Shulk</t>
  </si>
  <si>
    <t xml:space="preserve">Ned Flanders</t>
  </si>
  <si>
    <t xml:space="preserve">Pidgeot</t>
  </si>
  <si>
    <t xml:space="preserve">Koopa</t>
  </si>
  <si>
    <t xml:space="preserve">Will a. Zeppeli</t>
  </si>
  <si>
    <t xml:space="preserve">Krilin</t>
  </si>
  <si>
    <t xml:space="preserve">Dupli kate</t>
  </si>
  <si>
    <t xml:space="preserve">SpongeBob</t>
  </si>
  <si>
    <t xml:space="preserve">Future Trunks</t>
  </si>
  <si>
    <t xml:space="preserve">Crewmate</t>
  </si>
  <si>
    <t xml:space="preserve">Leclerc</t>
  </si>
  <si>
    <t xml:space="preserve">George Washington</t>
  </si>
  <si>
    <t xml:space="preserve">Alien</t>
  </si>
  <si>
    <t xml:space="preserve">Dodoria</t>
  </si>
  <si>
    <t xml:space="preserve">Master Roshi</t>
  </si>
  <si>
    <t xml:space="preserve">Bo</t>
  </si>
  <si>
    <t xml:space="preserve">Piper</t>
  </si>
  <si>
    <t xml:space="preserve">Sabaku</t>
  </si>
  <si>
    <t xml:space="preserve">monster girl</t>
  </si>
  <si>
    <t xml:space="preserve">Ferb</t>
  </si>
  <si>
    <t xml:space="preserve">Peach</t>
  </si>
  <si>
    <t xml:space="preserve">Jessie</t>
  </si>
  <si>
    <t xml:space="preserve">Will E Coyote</t>
  </si>
  <si>
    <t xml:space="preserve">Jerry</t>
  </si>
  <si>
    <t xml:space="preserve">2pac</t>
  </si>
  <si>
    <t xml:space="preserve">Sora</t>
  </si>
  <si>
    <t xml:space="preserve">Cuphead</t>
  </si>
  <si>
    <t xml:space="preserve">Kanye</t>
  </si>
  <si>
    <t xml:space="preserve">Zeus</t>
  </si>
  <si>
    <t xml:space="preserve">Minnie</t>
  </si>
  <si>
    <t xml:space="preserve">Eminem</t>
  </si>
  <si>
    <t xml:space="preserve">Woody</t>
  </si>
  <si>
    <t xml:space="preserve">Loki</t>
  </si>
  <si>
    <t xml:space="preserve">Daisy</t>
  </si>
  <si>
    <t xml:space="preserve">R2-D2</t>
  </si>
  <si>
    <t xml:space="preserve">Tails</t>
  </si>
  <si>
    <t xml:space="preserve">Mr game&amp;watch</t>
  </si>
  <si>
    <t xml:space="preserve">Wolf</t>
  </si>
  <si>
    <t xml:space="preserve">Birdo</t>
  </si>
  <si>
    <t xml:space="preserve">Jeice</t>
  </si>
  <si>
    <t xml:space="preserve">King bob omb</t>
  </si>
  <si>
    <t xml:space="preserve">Abraham Lincoln</t>
  </si>
  <si>
    <t xml:space="preserve">Dr Nefario</t>
  </si>
  <si>
    <t xml:space="preserve">Sainz</t>
  </si>
  <si>
    <t xml:space="preserve">Norris</t>
  </si>
  <si>
    <t xml:space="preserve">Wiggler</t>
  </si>
  <si>
    <t xml:space="preserve">Ben 10</t>
  </si>
  <si>
    <t xml:space="preserve">Yamcha</t>
  </si>
  <si>
    <t xml:space="preserve">Stewie griffin</t>
  </si>
  <si>
    <t xml:space="preserve">Remy</t>
  </si>
  <si>
    <t xml:space="preserve">Kamek</t>
  </si>
  <si>
    <t xml:space="preserve">Rosalina</t>
  </si>
  <si>
    <t xml:space="preserve">Lex Luthor</t>
  </si>
  <si>
    <t xml:space="preserve">Phineas</t>
  </si>
  <si>
    <t xml:space="preserve">Tim sanders</t>
  </si>
  <si>
    <t xml:space="preserve">Bubbles</t>
  </si>
  <si>
    <t xml:space="preserve">Diddy Kong</t>
  </si>
  <si>
    <t xml:space="preserve">Meta knight</t>
  </si>
  <si>
    <t xml:space="preserve">Mugman</t>
  </si>
  <si>
    <t xml:space="preserve">Buzz lighyear</t>
  </si>
  <si>
    <t xml:space="preserve">Lil uzi</t>
  </si>
  <si>
    <t xml:space="preserve">Pac man</t>
  </si>
  <si>
    <t xml:space="preserve">Future</t>
  </si>
  <si>
    <t xml:space="preserve">Vettel</t>
  </si>
  <si>
    <t xml:space="preserve">Enrico VIII</t>
  </si>
  <si>
    <t xml:space="preserve">Biggie</t>
  </si>
  <si>
    <t xml:space="preserve">Sheik</t>
  </si>
  <si>
    <t xml:space="preserve">Pit</t>
  </si>
  <si>
    <t xml:space="preserve">Max goofy</t>
  </si>
  <si>
    <t xml:space="preserve">Lanterna Verde</t>
  </si>
  <si>
    <t xml:space="preserve">Zelda</t>
  </si>
  <si>
    <t xml:space="preserve">Lil Wayne</t>
  </si>
  <si>
    <t xml:space="preserve">Slave</t>
  </si>
  <si>
    <t xml:space="preserve">Re Davide</t>
  </si>
  <si>
    <t xml:space="preserve">Koichi Hirose</t>
  </si>
  <si>
    <t xml:space="preserve">Scott Vanian</t>
  </si>
  <si>
    <t xml:space="preserve">Martin Luther King</t>
  </si>
  <si>
    <t xml:space="preserve">Lamela</t>
  </si>
  <si>
    <t xml:space="preserve">Chicharito</t>
  </si>
  <si>
    <t xml:space="preserve">Travis Scott</t>
  </si>
  <si>
    <t xml:space="preserve">Napoleon</t>
  </si>
  <si>
    <t xml:space="preserve">Guldo</t>
  </si>
  <si>
    <t xml:space="preserve">Donald Trump</t>
  </si>
  <si>
    <t xml:space="preserve">Players</t>
  </si>
  <si>
    <t xml:space="preserve">Top score</t>
  </si>
  <si>
    <t xml:space="preserve">Average</t>
  </si>
  <si>
    <t xml:space="preserve">Lowest</t>
  </si>
  <si>
    <t xml:space="preserve">Goalkeeper</t>
  </si>
  <si>
    <t xml:space="preserve">Portieri</t>
  </si>
  <si>
    <t xml:space="preserve">Center Back</t>
  </si>
  <si>
    <t xml:space="preserve">Difensori</t>
  </si>
  <si>
    <t xml:space="preserve">Left Back</t>
  </si>
  <si>
    <t xml:space="preserve">Right Back</t>
  </si>
  <si>
    <t xml:space="preserve">Defensive Midfielder</t>
  </si>
  <si>
    <t xml:space="preserve">Centrocampo</t>
  </si>
  <si>
    <t xml:space="preserve">Central Midfielder</t>
  </si>
  <si>
    <t xml:space="preserve">Left Midfielder</t>
  </si>
  <si>
    <t xml:space="preserve">Right Midfielder</t>
  </si>
  <si>
    <t xml:space="preserve">Attacking Midfielder</t>
  </si>
  <si>
    <t xml:space="preserve">Left Wing Forward</t>
  </si>
  <si>
    <t xml:space="preserve">Attacco</t>
  </si>
  <si>
    <t xml:space="preserve">Right Wing Forward</t>
  </si>
  <si>
    <t xml:space="preserve">Second Striker</t>
  </si>
  <si>
    <t xml:space="preserve">Center Forward</t>
  </si>
  <si>
    <t xml:space="preserve">Total</t>
  </si>
  <si>
    <t xml:space="preserve">How it works</t>
  </si>
  <si>
    <t xml:space="preserve">Edit only the blue cells in Overall: Name, Role, Score. Rank, role name, area, every role tab and this summary update automatically.</t>
  </si>
  <si>
    <t xml:space="preserve">New players: add them in the first empty row of Overall (formulas are ready up to row 1000). Each role tab shows up to 150 players.</t>
  </si>
  <si>
    <t xml:space="preserve">Role must be one of the codes in column A of this sheet (Overall has a drop-down list).</t>
  </si>
  <si>
    <t xml:space="preserve">Overall keeps its row order when scores change: use the filter arrow on Score to re-sort it. Role tabs re-sort themselves.</t>
  </si>
  <si>
    <t xml:space="preserve">Ties: same rank number; order follows the row order in Overall.</t>
  </si>
  <si>
    <t xml:space="preserve">Source: Google Doc provided by the user. Duplicate names removed, keeping the first entry, except "Il cippe" (listed twice in RB).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</si>
</sst>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444444"/>
      <name val="Arial"/>
      <family val="0"/>
      <charset val="1"/>
    </font>
    <font>
      <i val="true"/>
      <sz val="11"/>
      <color rgb="FF44444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22222"/>
        <bgColor rgb="FF003300"/>
      </patternFill>
    </fill>
    <fill>
      <patternFill patternType="solid">
        <fgColor rgb="FFF2E6C9"/>
        <bgColor rgb="FFF3D9D9"/>
      </patternFill>
    </fill>
    <fill>
      <patternFill patternType="solid">
        <fgColor rgb="FFD9E4F0"/>
        <bgColor rgb="FFDCEBDD"/>
      </patternFill>
    </fill>
    <fill>
      <patternFill patternType="solid">
        <fgColor rgb="FFDCEBDD"/>
        <bgColor rgb="FFD9E4F0"/>
      </patternFill>
    </fill>
    <fill>
      <patternFill patternType="solid">
        <fgColor rgb="FFF3D9D9"/>
        <bgColor rgb="FFF2E6C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2222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E4F0"/>
          <bgColor rgb="FF000000"/>
        </patternFill>
      </fill>
    </dxf>
    <dxf>
      <fill>
        <patternFill patternType="solid">
          <fgColor rgb="FFDCEBDD"/>
          <bgColor rgb="FF000000"/>
        </patternFill>
      </fill>
    </dxf>
    <dxf>
      <fill>
        <patternFill patternType="solid">
          <fgColor rgb="FFF2E6C9"/>
          <bgColor rgb="FF000000"/>
        </patternFill>
      </fill>
    </dxf>
    <dxf>
      <fill>
        <patternFill patternType="solid">
          <fgColor rgb="FFF3D9D9"/>
          <bgColor rgb="FF000000"/>
        </patternFill>
      </fill>
    </dxf>
    <dxf>
      <fill>
        <patternFill>
          <bgColor rgb="FFF2E6C9"/>
        </patternFill>
      </fill>
    </dxf>
    <dxf>
      <fill>
        <patternFill>
          <bgColor rgb="FFD9E4F0"/>
        </patternFill>
      </fill>
    </dxf>
    <dxf>
      <fill>
        <patternFill>
          <bgColor rgb="FFDCEBDD"/>
        </patternFill>
      </fill>
    </dxf>
    <dxf>
      <fill>
        <patternFill>
          <bgColor rgb="FFF3D9D9"/>
        </patternFill>
      </fill>
    </dxf>
    <dxf>
      <border diagonalUp="false" diagonalDown="false">
        <left/>
        <right/>
        <top/>
        <bottom style="thin">
          <color rgb="FFDDDDDD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E6C9"/>
      <rgbColor rgb="FFD9E4F0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DD"/>
      <rgbColor rgb="FFFFFF99"/>
      <rgbColor rgb="FF99CCFF"/>
      <rgbColor rgb="FFFF99CC"/>
      <rgbColor rgb="FFCC99FF"/>
      <rgbColor rgb="FFF3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3"/>
    <col collapsed="false" customWidth="true" hidden="true" outlineLevel="0" max="8" min="8" style="0" width="10"/>
    <col collapsed="false" customWidth="true" hidden="tru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customFormat="false" ht="15" hidden="false" customHeight="false" outlineLevel="0" collapsed="false">
      <c r="A2" s="2" t="n">
        <f aca="false">IF(F2="","",COUNTIF($F$2:$F$1000,"&gt;"&amp;F2)+1)</f>
        <v>1</v>
      </c>
      <c r="B2" s="3" t="s">
        <v>8</v>
      </c>
      <c r="C2" s="4" t="s">
        <v>9</v>
      </c>
      <c r="D2" s="5" t="str">
        <f aca="false">IF(C2="","",IFERROR(INDEX(Summary!$B$2:$B$14,MATCH(C2,Summary!$A$2:$A$14,0)),"?"))</f>
        <v>Goalkeeper</v>
      </c>
      <c r="E2" s="5" t="str">
        <f aca="false">IF(C2="","",IFERROR(INDEX(Summary!$C$2:$C$14,MATCH(C2,Summary!$A$2:$A$14,0)),"?"))</f>
        <v>Portieri</v>
      </c>
      <c r="F2" s="6" t="n">
        <v>109</v>
      </c>
      <c r="H2" s="7" t="n">
        <f aca="false">IF(OR(B2="",F2=""),"",F2-ROW()/100000)</f>
        <v>108.99998</v>
      </c>
      <c r="I2" s="0" t="str">
        <f aca="false">IF(H2="","",C2&amp;"|"&amp;(COUNTIFS($C$2:$C$1000,C2,$H$2:$H$1000,"&gt;"&amp;H2)+1))</f>
        <v>GK|1</v>
      </c>
    </row>
    <row r="3" customFormat="false" ht="15" hidden="false" customHeight="false" outlineLevel="0" collapsed="false">
      <c r="A3" s="2" t="n">
        <f aca="false">IF(F3="","",COUNTIF($F$2:$F$1000,"&gt;"&amp;F3)+1)</f>
        <v>1</v>
      </c>
      <c r="B3" s="3" t="s">
        <v>10</v>
      </c>
      <c r="C3" s="4" t="s">
        <v>11</v>
      </c>
      <c r="D3" s="5" t="str">
        <f aca="false">IF(C3="","",IFERROR(INDEX(Summary!$B$2:$B$14,MATCH(C3,Summary!$A$2:$A$14,0)),"?"))</f>
        <v>Central Midfielder</v>
      </c>
      <c r="E3" s="5" t="str">
        <f aca="false">IF(C3="","",IFERROR(INDEX(Summary!$C$2:$C$14,MATCH(C3,Summary!$A$2:$A$14,0)),"?"))</f>
        <v>Centrocampo</v>
      </c>
      <c r="F3" s="6" t="n">
        <v>109</v>
      </c>
      <c r="H3" s="7" t="n">
        <f aca="false">IF(OR(B3="",F3=""),"",F3-ROW()/100000)</f>
        <v>108.99997</v>
      </c>
      <c r="I3" s="0" t="str">
        <f aca="false">IF(H3="","",C3&amp;"|"&amp;(COUNTIFS($C$2:$C$1000,C3,$H$2:$H$1000,"&gt;"&amp;H3)+1))</f>
        <v>CMF|1</v>
      </c>
    </row>
    <row r="4" customFormat="false" ht="15" hidden="false" customHeight="false" outlineLevel="0" collapsed="false">
      <c r="A4" s="2" t="n">
        <f aca="false">IF(F4="","",COUNTIF($F$2:$F$1000,"&gt;"&amp;F4)+1)</f>
        <v>1</v>
      </c>
      <c r="B4" s="3" t="s">
        <v>12</v>
      </c>
      <c r="C4" s="4" t="s">
        <v>11</v>
      </c>
      <c r="D4" s="5" t="str">
        <f aca="false">IF(C4="","",IFERROR(INDEX(Summary!$B$2:$B$14,MATCH(C4,Summary!$A$2:$A$14,0)),"?"))</f>
        <v>Central Midfielder</v>
      </c>
      <c r="E4" s="5" t="str">
        <f aca="false">IF(C4="","",IFERROR(INDEX(Summary!$C$2:$C$14,MATCH(C4,Summary!$A$2:$A$14,0)),"?"))</f>
        <v>Centrocampo</v>
      </c>
      <c r="F4" s="6" t="n">
        <v>109</v>
      </c>
      <c r="H4" s="7" t="n">
        <f aca="false">IF(OR(B4="",F4=""),"",F4-ROW()/100000)</f>
        <v>108.99996</v>
      </c>
      <c r="I4" s="0" t="str">
        <f aca="false">IF(H4="","",C4&amp;"|"&amp;(COUNTIFS($C$2:$C$1000,C4,$H$2:$H$1000,"&gt;"&amp;H4)+1))</f>
        <v>CMF|2</v>
      </c>
    </row>
    <row r="5" customFormat="false" ht="15" hidden="false" customHeight="false" outlineLevel="0" collapsed="false">
      <c r="A5" s="2" t="n">
        <f aca="false">IF(F5="","",COUNTIF($F$2:$F$1000,"&gt;"&amp;F5)+1)</f>
        <v>1</v>
      </c>
      <c r="B5" s="3" t="s">
        <v>13</v>
      </c>
      <c r="C5" s="4" t="s">
        <v>11</v>
      </c>
      <c r="D5" s="5" t="str">
        <f aca="false">IF(C5="","",IFERROR(INDEX(Summary!$B$2:$B$14,MATCH(C5,Summary!$A$2:$A$14,0)),"?"))</f>
        <v>Central Midfielder</v>
      </c>
      <c r="E5" s="5" t="str">
        <f aca="false">IF(C5="","",IFERROR(INDEX(Summary!$C$2:$C$14,MATCH(C5,Summary!$A$2:$A$14,0)),"?"))</f>
        <v>Centrocampo</v>
      </c>
      <c r="F5" s="6" t="n">
        <v>109</v>
      </c>
      <c r="H5" s="7" t="n">
        <f aca="false">IF(OR(B5="",F5=""),"",F5-ROW()/100000)</f>
        <v>108.99995</v>
      </c>
      <c r="I5" s="0" t="str">
        <f aca="false">IF(H5="","",C5&amp;"|"&amp;(COUNTIFS($C$2:$C$1000,C5,$H$2:$H$1000,"&gt;"&amp;H5)+1))</f>
        <v>CMF|3</v>
      </c>
    </row>
    <row r="6" customFormat="false" ht="15" hidden="false" customHeight="false" outlineLevel="0" collapsed="false">
      <c r="A6" s="2" t="n">
        <f aca="false">IF(F6="","",COUNTIF($F$2:$F$1000,"&gt;"&amp;F6)+1)</f>
        <v>1</v>
      </c>
      <c r="B6" s="3" t="s">
        <v>14</v>
      </c>
      <c r="C6" s="4" t="s">
        <v>15</v>
      </c>
      <c r="D6" s="5" t="str">
        <f aca="false">IF(C6="","",IFERROR(INDEX(Summary!$B$2:$B$14,MATCH(C6,Summary!$A$2:$A$14,0)),"?"))</f>
        <v>Left Wing Forward</v>
      </c>
      <c r="E6" s="5" t="str">
        <f aca="false">IF(C6="","",IFERROR(INDEX(Summary!$C$2:$C$14,MATCH(C6,Summary!$A$2:$A$14,0)),"?"))</f>
        <v>Attacco</v>
      </c>
      <c r="F6" s="6" t="n">
        <v>109</v>
      </c>
      <c r="H6" s="7" t="n">
        <f aca="false">IF(OR(B6="",F6=""),"",F6-ROW()/100000)</f>
        <v>108.99994</v>
      </c>
      <c r="I6" s="0" t="str">
        <f aca="false">IF(H6="","",C6&amp;"|"&amp;(COUNTIFS($C$2:$C$1000,C6,$H$2:$H$1000,"&gt;"&amp;H6)+1))</f>
        <v>LWF|1</v>
      </c>
    </row>
    <row r="7" customFormat="false" ht="15" hidden="false" customHeight="false" outlineLevel="0" collapsed="false">
      <c r="A7" s="2" t="n">
        <f aca="false">IF(F7="","",COUNTIF($F$2:$F$1000,"&gt;"&amp;F7)+1)</f>
        <v>1</v>
      </c>
      <c r="B7" s="3" t="s">
        <v>16</v>
      </c>
      <c r="C7" s="4" t="s">
        <v>17</v>
      </c>
      <c r="D7" s="5" t="str">
        <f aca="false">IF(C7="","",IFERROR(INDEX(Summary!$B$2:$B$14,MATCH(C7,Summary!$A$2:$A$14,0)),"?"))</f>
        <v>Right Wing Forward</v>
      </c>
      <c r="E7" s="5" t="str">
        <f aca="false">IF(C7="","",IFERROR(INDEX(Summary!$C$2:$C$14,MATCH(C7,Summary!$A$2:$A$14,0)),"?"))</f>
        <v>Attacco</v>
      </c>
      <c r="F7" s="6" t="n">
        <v>109</v>
      </c>
      <c r="H7" s="7" t="n">
        <f aca="false">IF(OR(B7="",F7=""),"",F7-ROW()/100000)</f>
        <v>108.99993</v>
      </c>
      <c r="I7" s="0" t="str">
        <f aca="false">IF(H7="","",C7&amp;"|"&amp;(COUNTIFS($C$2:$C$1000,C7,$H$2:$H$1000,"&gt;"&amp;H7)+1))</f>
        <v>RWF|1</v>
      </c>
    </row>
    <row r="8" customFormat="false" ht="15" hidden="false" customHeight="false" outlineLevel="0" collapsed="false">
      <c r="A8" s="2" t="n">
        <f aca="false">IF(F8="","",COUNTIF($F$2:$F$1000,"&gt;"&amp;F8)+1)</f>
        <v>1</v>
      </c>
      <c r="B8" s="3" t="s">
        <v>18</v>
      </c>
      <c r="C8" s="4" t="s">
        <v>19</v>
      </c>
      <c r="D8" s="5" t="str">
        <f aca="false">IF(C8="","",IFERROR(INDEX(Summary!$B$2:$B$14,MATCH(C8,Summary!$A$2:$A$14,0)),"?"))</f>
        <v>Second Striker</v>
      </c>
      <c r="E8" s="5" t="str">
        <f aca="false">IF(C8="","",IFERROR(INDEX(Summary!$C$2:$C$14,MATCH(C8,Summary!$A$2:$A$14,0)),"?"))</f>
        <v>Attacco</v>
      </c>
      <c r="F8" s="6" t="n">
        <v>109</v>
      </c>
      <c r="H8" s="7" t="n">
        <f aca="false">IF(OR(B8="",F8=""),"",F8-ROW()/100000)</f>
        <v>108.99992</v>
      </c>
      <c r="I8" s="0" t="str">
        <f aca="false">IF(H8="","",C8&amp;"|"&amp;(COUNTIFS($C$2:$C$1000,C8,$H$2:$H$1000,"&gt;"&amp;H8)+1))</f>
        <v>SS|1</v>
      </c>
    </row>
    <row r="9" customFormat="false" ht="15" hidden="false" customHeight="false" outlineLevel="0" collapsed="false">
      <c r="A9" s="2" t="n">
        <f aca="false">IF(F9="","",COUNTIF($F$2:$F$1000,"&gt;"&amp;F9)+1)</f>
        <v>1</v>
      </c>
      <c r="B9" s="3" t="s">
        <v>20</v>
      </c>
      <c r="C9" s="4" t="s">
        <v>21</v>
      </c>
      <c r="D9" s="5" t="str">
        <f aca="false">IF(C9="","",IFERROR(INDEX(Summary!$B$2:$B$14,MATCH(C9,Summary!$A$2:$A$14,0)),"?"))</f>
        <v>Center Forward</v>
      </c>
      <c r="E9" s="5" t="str">
        <f aca="false">IF(C9="","",IFERROR(INDEX(Summary!$C$2:$C$14,MATCH(C9,Summary!$A$2:$A$14,0)),"?"))</f>
        <v>Attacco</v>
      </c>
      <c r="F9" s="6" t="n">
        <v>109</v>
      </c>
      <c r="H9" s="7" t="n">
        <f aca="false">IF(OR(B9="",F9=""),"",F9-ROW()/100000)</f>
        <v>108.99991</v>
      </c>
      <c r="I9" s="0" t="str">
        <f aca="false">IF(H9="","",C9&amp;"|"&amp;(COUNTIFS($C$2:$C$1000,C9,$H$2:$H$1000,"&gt;"&amp;H9)+1))</f>
        <v>CF|1</v>
      </c>
    </row>
    <row r="10" customFormat="false" ht="15" hidden="false" customHeight="false" outlineLevel="0" collapsed="false">
      <c r="A10" s="2" t="n">
        <f aca="false">IF(F10="","",COUNTIF($F$2:$F$1000,"&gt;"&amp;F10)+1)</f>
        <v>9</v>
      </c>
      <c r="B10" s="3" t="s">
        <v>22</v>
      </c>
      <c r="C10" s="4" t="s">
        <v>23</v>
      </c>
      <c r="D10" s="5" t="str">
        <f aca="false">IF(C10="","",IFERROR(INDEX(Summary!$B$2:$B$14,MATCH(C10,Summary!$A$2:$A$14,0)),"?"))</f>
        <v>Left Back</v>
      </c>
      <c r="E10" s="5" t="str">
        <f aca="false">IF(C10="","",IFERROR(INDEX(Summary!$C$2:$C$14,MATCH(C10,Summary!$A$2:$A$14,0)),"?"))</f>
        <v>Difensori</v>
      </c>
      <c r="F10" s="6" t="n">
        <v>108</v>
      </c>
      <c r="H10" s="7" t="n">
        <f aca="false">IF(OR(B10="",F10=""),"",F10-ROW()/100000)</f>
        <v>107.9999</v>
      </c>
      <c r="I10" s="0" t="str">
        <f aca="false">IF(H10="","",C10&amp;"|"&amp;(COUNTIFS($C$2:$C$1000,C10,$H$2:$H$1000,"&gt;"&amp;H10)+1))</f>
        <v>LB|1</v>
      </c>
    </row>
    <row r="11" customFormat="false" ht="15" hidden="false" customHeight="false" outlineLevel="0" collapsed="false">
      <c r="A11" s="2" t="n">
        <f aca="false">IF(F11="","",COUNTIF($F$2:$F$1000,"&gt;"&amp;F11)+1)</f>
        <v>9</v>
      </c>
      <c r="B11" s="3" t="s">
        <v>24</v>
      </c>
      <c r="C11" s="4" t="s">
        <v>21</v>
      </c>
      <c r="D11" s="5" t="str">
        <f aca="false">IF(C11="","",IFERROR(INDEX(Summary!$B$2:$B$14,MATCH(C11,Summary!$A$2:$A$14,0)),"?"))</f>
        <v>Center Forward</v>
      </c>
      <c r="E11" s="5" t="str">
        <f aca="false">IF(C11="","",IFERROR(INDEX(Summary!$C$2:$C$14,MATCH(C11,Summary!$A$2:$A$14,0)),"?"))</f>
        <v>Attacco</v>
      </c>
      <c r="F11" s="6" t="n">
        <v>108</v>
      </c>
      <c r="H11" s="7" t="n">
        <f aca="false">IF(OR(B11="",F11=""),"",F11-ROW()/100000)</f>
        <v>107.99989</v>
      </c>
      <c r="I11" s="0" t="str">
        <f aca="false">IF(H11="","",C11&amp;"|"&amp;(COUNTIFS($C$2:$C$1000,C11,$H$2:$H$1000,"&gt;"&amp;H11)+1))</f>
        <v>CF|2</v>
      </c>
    </row>
    <row r="12" customFormat="false" ht="15" hidden="false" customHeight="false" outlineLevel="0" collapsed="false">
      <c r="A12" s="2" t="n">
        <f aca="false">IF(F12="","",COUNTIF($F$2:$F$1000,"&gt;"&amp;F12)+1)</f>
        <v>9</v>
      </c>
      <c r="B12" s="3" t="s">
        <v>25</v>
      </c>
      <c r="C12" s="4" t="s">
        <v>21</v>
      </c>
      <c r="D12" s="5" t="str">
        <f aca="false">IF(C12="","",IFERROR(INDEX(Summary!$B$2:$B$14,MATCH(C12,Summary!$A$2:$A$14,0)),"?"))</f>
        <v>Center Forward</v>
      </c>
      <c r="E12" s="5" t="str">
        <f aca="false">IF(C12="","",IFERROR(INDEX(Summary!$C$2:$C$14,MATCH(C12,Summary!$A$2:$A$14,0)),"?"))</f>
        <v>Attacco</v>
      </c>
      <c r="F12" s="6" t="n">
        <v>108</v>
      </c>
      <c r="H12" s="7" t="n">
        <f aca="false">IF(OR(B12="",F12=""),"",F12-ROW()/100000)</f>
        <v>107.99988</v>
      </c>
      <c r="I12" s="0" t="str">
        <f aca="false">IF(H12="","",C12&amp;"|"&amp;(COUNTIFS($C$2:$C$1000,C12,$H$2:$H$1000,"&gt;"&amp;H12)+1))</f>
        <v>CF|3</v>
      </c>
    </row>
    <row r="13" customFormat="false" ht="15" hidden="false" customHeight="false" outlineLevel="0" collapsed="false">
      <c r="A13" s="2" t="n">
        <f aca="false">IF(F13="","",COUNTIF($F$2:$F$1000,"&gt;"&amp;F13)+1)</f>
        <v>12</v>
      </c>
      <c r="B13" s="3" t="s">
        <v>26</v>
      </c>
      <c r="C13" s="4" t="s">
        <v>11</v>
      </c>
      <c r="D13" s="5" t="str">
        <f aca="false">IF(C13="","",IFERROR(INDEX(Summary!$B$2:$B$14,MATCH(C13,Summary!$A$2:$A$14,0)),"?"))</f>
        <v>Central Midfielder</v>
      </c>
      <c r="E13" s="5" t="str">
        <f aca="false">IF(C13="","",IFERROR(INDEX(Summary!$C$2:$C$14,MATCH(C13,Summary!$A$2:$A$14,0)),"?"))</f>
        <v>Centrocampo</v>
      </c>
      <c r="F13" s="6" t="n">
        <v>106</v>
      </c>
      <c r="H13" s="7" t="n">
        <f aca="false">IF(OR(B13="",F13=""),"",F13-ROW()/100000)</f>
        <v>105.99987</v>
      </c>
      <c r="I13" s="0" t="str">
        <f aca="false">IF(H13="","",C13&amp;"|"&amp;(COUNTIFS($C$2:$C$1000,C13,$H$2:$H$1000,"&gt;"&amp;H13)+1))</f>
        <v>CMF|4</v>
      </c>
    </row>
    <row r="14" customFormat="false" ht="15" hidden="false" customHeight="false" outlineLevel="0" collapsed="false">
      <c r="A14" s="2" t="n">
        <f aca="false">IF(F14="","",COUNTIF($F$2:$F$1000,"&gt;"&amp;F14)+1)</f>
        <v>12</v>
      </c>
      <c r="B14" s="3" t="s">
        <v>27</v>
      </c>
      <c r="C14" s="4" t="s">
        <v>28</v>
      </c>
      <c r="D14" s="5" t="str">
        <f aca="false">IF(C14="","",IFERROR(INDEX(Summary!$B$2:$B$14,MATCH(C14,Summary!$A$2:$A$14,0)),"?"))</f>
        <v>Right Midfielder</v>
      </c>
      <c r="E14" s="5" t="str">
        <f aca="false">IF(C14="","",IFERROR(INDEX(Summary!$C$2:$C$14,MATCH(C14,Summary!$A$2:$A$14,0)),"?"))</f>
        <v>Centrocampo</v>
      </c>
      <c r="F14" s="6" t="n">
        <v>106</v>
      </c>
      <c r="H14" s="7" t="n">
        <f aca="false">IF(OR(B14="",F14=""),"",F14-ROW()/100000)</f>
        <v>105.99986</v>
      </c>
      <c r="I14" s="0" t="str">
        <f aca="false">IF(H14="","",C14&amp;"|"&amp;(COUNTIFS($C$2:$C$1000,C14,$H$2:$H$1000,"&gt;"&amp;H14)+1))</f>
        <v>RMF|1</v>
      </c>
    </row>
    <row r="15" customFormat="false" ht="15" hidden="false" customHeight="false" outlineLevel="0" collapsed="false">
      <c r="A15" s="2" t="n">
        <f aca="false">IF(F15="","",COUNTIF($F$2:$F$1000,"&gt;"&amp;F15)+1)</f>
        <v>14</v>
      </c>
      <c r="B15" s="3" t="s">
        <v>29</v>
      </c>
      <c r="C15" s="4" t="s">
        <v>9</v>
      </c>
      <c r="D15" s="5" t="str">
        <f aca="false">IF(C15="","",IFERROR(INDEX(Summary!$B$2:$B$14,MATCH(C15,Summary!$A$2:$A$14,0)),"?"))</f>
        <v>Goalkeeper</v>
      </c>
      <c r="E15" s="5" t="str">
        <f aca="false">IF(C15="","",IFERROR(INDEX(Summary!$C$2:$C$14,MATCH(C15,Summary!$A$2:$A$14,0)),"?"))</f>
        <v>Portieri</v>
      </c>
      <c r="F15" s="6" t="n">
        <v>104</v>
      </c>
      <c r="H15" s="7" t="n">
        <f aca="false">IF(OR(B15="",F15=""),"",F15-ROW()/100000)</f>
        <v>103.99985</v>
      </c>
      <c r="I15" s="0" t="str">
        <f aca="false">IF(H15="","",C15&amp;"|"&amp;(COUNTIFS($C$2:$C$1000,C15,$H$2:$H$1000,"&gt;"&amp;H15)+1))</f>
        <v>GK|2</v>
      </c>
    </row>
    <row r="16" customFormat="false" ht="15" hidden="false" customHeight="false" outlineLevel="0" collapsed="false">
      <c r="A16" s="2" t="n">
        <f aca="false">IF(F16="","",COUNTIF($F$2:$F$1000,"&gt;"&amp;F16)+1)</f>
        <v>15</v>
      </c>
      <c r="B16" s="3" t="s">
        <v>30</v>
      </c>
      <c r="C16" s="4" t="s">
        <v>31</v>
      </c>
      <c r="D16" s="5" t="str">
        <f aca="false">IF(C16="","",IFERROR(INDEX(Summary!$B$2:$B$14,MATCH(C16,Summary!$A$2:$A$14,0)),"?"))</f>
        <v>Attacking Midfielder</v>
      </c>
      <c r="E16" s="5" t="str">
        <f aca="false">IF(C16="","",IFERROR(INDEX(Summary!$C$2:$C$14,MATCH(C16,Summary!$A$2:$A$14,0)),"?"))</f>
        <v>Centrocampo</v>
      </c>
      <c r="F16" s="6" t="n">
        <v>103</v>
      </c>
      <c r="H16" s="7" t="n">
        <f aca="false">IF(OR(B16="",F16=""),"",F16-ROW()/100000)</f>
        <v>102.99984</v>
      </c>
      <c r="I16" s="0" t="str">
        <f aca="false">IF(H16="","",C16&amp;"|"&amp;(COUNTIFS($C$2:$C$1000,C16,$H$2:$H$1000,"&gt;"&amp;H16)+1))</f>
        <v>AMF|1</v>
      </c>
    </row>
    <row r="17" customFormat="false" ht="15" hidden="false" customHeight="false" outlineLevel="0" collapsed="false">
      <c r="A17" s="2" t="n">
        <f aca="false">IF(F17="","",COUNTIF($F$2:$F$1000,"&gt;"&amp;F17)+1)</f>
        <v>15</v>
      </c>
      <c r="B17" s="3" t="s">
        <v>32</v>
      </c>
      <c r="C17" s="4" t="s">
        <v>15</v>
      </c>
      <c r="D17" s="5" t="str">
        <f aca="false">IF(C17="","",IFERROR(INDEX(Summary!$B$2:$B$14,MATCH(C17,Summary!$A$2:$A$14,0)),"?"))</f>
        <v>Left Wing Forward</v>
      </c>
      <c r="E17" s="5" t="str">
        <f aca="false">IF(C17="","",IFERROR(INDEX(Summary!$C$2:$C$14,MATCH(C17,Summary!$A$2:$A$14,0)),"?"))</f>
        <v>Attacco</v>
      </c>
      <c r="F17" s="6" t="n">
        <v>103</v>
      </c>
      <c r="H17" s="7" t="n">
        <f aca="false">IF(OR(B17="",F17=""),"",F17-ROW()/100000)</f>
        <v>102.99983</v>
      </c>
      <c r="I17" s="0" t="str">
        <f aca="false">IF(H17="","",C17&amp;"|"&amp;(COUNTIFS($C$2:$C$1000,C17,$H$2:$H$1000,"&gt;"&amp;H17)+1))</f>
        <v>LWF|2</v>
      </c>
    </row>
    <row r="18" customFormat="false" ht="15" hidden="false" customHeight="false" outlineLevel="0" collapsed="false">
      <c r="A18" s="2" t="n">
        <f aca="false">IF(F18="","",COUNTIF($F$2:$F$1000,"&gt;"&amp;F18)+1)</f>
        <v>17</v>
      </c>
      <c r="B18" s="3" t="s">
        <v>33</v>
      </c>
      <c r="C18" s="4" t="s">
        <v>11</v>
      </c>
      <c r="D18" s="5" t="str">
        <f aca="false">IF(C18="","",IFERROR(INDEX(Summary!$B$2:$B$14,MATCH(C18,Summary!$A$2:$A$14,0)),"?"))</f>
        <v>Central Midfielder</v>
      </c>
      <c r="E18" s="5" t="str">
        <f aca="false">IF(C18="","",IFERROR(INDEX(Summary!$C$2:$C$14,MATCH(C18,Summary!$A$2:$A$14,0)),"?"))</f>
        <v>Centrocampo</v>
      </c>
      <c r="F18" s="6" t="n">
        <v>102</v>
      </c>
      <c r="H18" s="7" t="n">
        <f aca="false">IF(OR(B18="",F18=""),"",F18-ROW()/100000)</f>
        <v>101.99982</v>
      </c>
      <c r="I18" s="0" t="str">
        <f aca="false">IF(H18="","",C18&amp;"|"&amp;(COUNTIFS($C$2:$C$1000,C18,$H$2:$H$1000,"&gt;"&amp;H18)+1))</f>
        <v>CMF|5</v>
      </c>
    </row>
    <row r="19" customFormat="false" ht="15" hidden="false" customHeight="false" outlineLevel="0" collapsed="false">
      <c r="A19" s="2" t="n">
        <f aca="false">IF(F19="","",COUNTIF($F$2:$F$1000,"&gt;"&amp;F19)+1)</f>
        <v>18</v>
      </c>
      <c r="B19" s="3" t="s">
        <v>34</v>
      </c>
      <c r="C19" s="4" t="s">
        <v>9</v>
      </c>
      <c r="D19" s="5" t="str">
        <f aca="false">IF(C19="","",IFERROR(INDEX(Summary!$B$2:$B$14,MATCH(C19,Summary!$A$2:$A$14,0)),"?"))</f>
        <v>Goalkeeper</v>
      </c>
      <c r="E19" s="5" t="str">
        <f aca="false">IF(C19="","",IFERROR(INDEX(Summary!$C$2:$C$14,MATCH(C19,Summary!$A$2:$A$14,0)),"?"))</f>
        <v>Portieri</v>
      </c>
      <c r="F19" s="6" t="n">
        <v>101</v>
      </c>
      <c r="H19" s="7" t="n">
        <f aca="false">IF(OR(B19="",F19=""),"",F19-ROW()/100000)</f>
        <v>100.99981</v>
      </c>
      <c r="I19" s="0" t="str">
        <f aca="false">IF(H19="","",C19&amp;"|"&amp;(COUNTIFS($C$2:$C$1000,C19,$H$2:$H$1000,"&gt;"&amp;H19)+1))</f>
        <v>GK|3</v>
      </c>
    </row>
    <row r="20" customFormat="false" ht="15" hidden="false" customHeight="false" outlineLevel="0" collapsed="false">
      <c r="A20" s="2" t="n">
        <f aca="false">IF(F20="","",COUNTIF($F$2:$F$1000,"&gt;"&amp;F20)+1)</f>
        <v>18</v>
      </c>
      <c r="B20" s="3" t="s">
        <v>35</v>
      </c>
      <c r="C20" s="4" t="s">
        <v>21</v>
      </c>
      <c r="D20" s="5" t="str">
        <f aca="false">IF(C20="","",IFERROR(INDEX(Summary!$B$2:$B$14,MATCH(C20,Summary!$A$2:$A$14,0)),"?"))</f>
        <v>Center Forward</v>
      </c>
      <c r="E20" s="5" t="str">
        <f aca="false">IF(C20="","",IFERROR(INDEX(Summary!$C$2:$C$14,MATCH(C20,Summary!$A$2:$A$14,0)),"?"))</f>
        <v>Attacco</v>
      </c>
      <c r="F20" s="6" t="n">
        <v>101</v>
      </c>
      <c r="H20" s="7" t="n">
        <f aca="false">IF(OR(B20="",F20=""),"",F20-ROW()/100000)</f>
        <v>100.9998</v>
      </c>
      <c r="I20" s="0" t="str">
        <f aca="false">IF(H20="","",C20&amp;"|"&amp;(COUNTIFS($C$2:$C$1000,C20,$H$2:$H$1000,"&gt;"&amp;H20)+1))</f>
        <v>CF|4</v>
      </c>
    </row>
    <row r="21" customFormat="false" ht="15" hidden="false" customHeight="false" outlineLevel="0" collapsed="false">
      <c r="A21" s="2" t="n">
        <f aca="false">IF(F21="","",COUNTIF($F$2:$F$1000,"&gt;"&amp;F21)+1)</f>
        <v>20</v>
      </c>
      <c r="B21" s="3" t="s">
        <v>36</v>
      </c>
      <c r="C21" s="4" t="s">
        <v>9</v>
      </c>
      <c r="D21" s="5" t="str">
        <f aca="false">IF(C21="","",IFERROR(INDEX(Summary!$B$2:$B$14,MATCH(C21,Summary!$A$2:$A$14,0)),"?"))</f>
        <v>Goalkeeper</v>
      </c>
      <c r="E21" s="5" t="str">
        <f aca="false">IF(C21="","",IFERROR(INDEX(Summary!$C$2:$C$14,MATCH(C21,Summary!$A$2:$A$14,0)),"?"))</f>
        <v>Portieri</v>
      </c>
      <c r="F21" s="6" t="n">
        <v>100</v>
      </c>
      <c r="H21" s="7" t="n">
        <f aca="false">IF(OR(B21="",F21=""),"",F21-ROW()/100000)</f>
        <v>99.99979</v>
      </c>
      <c r="I21" s="0" t="str">
        <f aca="false">IF(H21="","",C21&amp;"|"&amp;(COUNTIFS($C$2:$C$1000,C21,$H$2:$H$1000,"&gt;"&amp;H21)+1))</f>
        <v>GK|4</v>
      </c>
    </row>
    <row r="22" customFormat="false" ht="15" hidden="false" customHeight="false" outlineLevel="0" collapsed="false">
      <c r="A22" s="2" t="n">
        <f aca="false">IF(F22="","",COUNTIF($F$2:$F$1000,"&gt;"&amp;F22)+1)</f>
        <v>20</v>
      </c>
      <c r="B22" s="3" t="s">
        <v>37</v>
      </c>
      <c r="C22" s="4" t="s">
        <v>38</v>
      </c>
      <c r="D22" s="5" t="str">
        <f aca="false">IF(C22="","",IFERROR(INDEX(Summary!$B$2:$B$14,MATCH(C22,Summary!$A$2:$A$14,0)),"?"))</f>
        <v>Center Back</v>
      </c>
      <c r="E22" s="5" t="str">
        <f aca="false">IF(C22="","",IFERROR(INDEX(Summary!$C$2:$C$14,MATCH(C22,Summary!$A$2:$A$14,0)),"?"))</f>
        <v>Difensori</v>
      </c>
      <c r="F22" s="6" t="n">
        <v>100</v>
      </c>
      <c r="H22" s="7" t="n">
        <f aca="false">IF(OR(B22="",F22=""),"",F22-ROW()/100000)</f>
        <v>99.99978</v>
      </c>
      <c r="I22" s="0" t="str">
        <f aca="false">IF(H22="","",C22&amp;"|"&amp;(COUNTIFS($C$2:$C$1000,C22,$H$2:$H$1000,"&gt;"&amp;H22)+1))</f>
        <v>CB|1</v>
      </c>
    </row>
    <row r="23" customFormat="false" ht="15" hidden="false" customHeight="false" outlineLevel="0" collapsed="false">
      <c r="A23" s="2" t="n">
        <f aca="false">IF(F23="","",COUNTIF($F$2:$F$1000,"&gt;"&amp;F23)+1)</f>
        <v>20</v>
      </c>
      <c r="B23" s="3" t="s">
        <v>39</v>
      </c>
      <c r="C23" s="4" t="s">
        <v>21</v>
      </c>
      <c r="D23" s="5" t="str">
        <f aca="false">IF(C23="","",IFERROR(INDEX(Summary!$B$2:$B$14,MATCH(C23,Summary!$A$2:$A$14,0)),"?"))</f>
        <v>Center Forward</v>
      </c>
      <c r="E23" s="5" t="str">
        <f aca="false">IF(C23="","",IFERROR(INDEX(Summary!$C$2:$C$14,MATCH(C23,Summary!$A$2:$A$14,0)),"?"))</f>
        <v>Attacco</v>
      </c>
      <c r="F23" s="6" t="n">
        <v>100</v>
      </c>
      <c r="H23" s="7" t="n">
        <f aca="false">IF(OR(B23="",F23=""),"",F23-ROW()/100000)</f>
        <v>99.99977</v>
      </c>
      <c r="I23" s="0" t="str">
        <f aca="false">IF(H23="","",C23&amp;"|"&amp;(COUNTIFS($C$2:$C$1000,C23,$H$2:$H$1000,"&gt;"&amp;H23)+1))</f>
        <v>CF|5</v>
      </c>
    </row>
    <row r="24" customFormat="false" ht="15" hidden="false" customHeight="false" outlineLevel="0" collapsed="false">
      <c r="A24" s="2" t="n">
        <f aca="false">IF(F24="","",COUNTIF($F$2:$F$1000,"&gt;"&amp;F24)+1)</f>
        <v>20</v>
      </c>
      <c r="B24" s="3" t="s">
        <v>40</v>
      </c>
      <c r="C24" s="4" t="s">
        <v>21</v>
      </c>
      <c r="D24" s="5" t="str">
        <f aca="false">IF(C24="","",IFERROR(INDEX(Summary!$B$2:$B$14,MATCH(C24,Summary!$A$2:$A$14,0)),"?"))</f>
        <v>Center Forward</v>
      </c>
      <c r="E24" s="5" t="str">
        <f aca="false">IF(C24="","",IFERROR(INDEX(Summary!$C$2:$C$14,MATCH(C24,Summary!$A$2:$A$14,0)),"?"))</f>
        <v>Attacco</v>
      </c>
      <c r="F24" s="6" t="n">
        <v>100</v>
      </c>
      <c r="H24" s="7" t="n">
        <f aca="false">IF(OR(B24="",F24=""),"",F24-ROW()/100000)</f>
        <v>99.99976</v>
      </c>
      <c r="I24" s="0" t="str">
        <f aca="false">IF(H24="","",C24&amp;"|"&amp;(COUNTIFS($C$2:$C$1000,C24,$H$2:$H$1000,"&gt;"&amp;H24)+1))</f>
        <v>CF|6</v>
      </c>
    </row>
    <row r="25" customFormat="false" ht="15" hidden="false" customHeight="false" outlineLevel="0" collapsed="false">
      <c r="A25" s="2" t="n">
        <f aca="false">IF(F25="","",COUNTIF($F$2:$F$1000,"&gt;"&amp;F25)+1)</f>
        <v>24</v>
      </c>
      <c r="B25" s="3" t="s">
        <v>41</v>
      </c>
      <c r="C25" s="4" t="s">
        <v>42</v>
      </c>
      <c r="D25" s="5" t="str">
        <f aca="false">IF(C25="","",IFERROR(INDEX(Summary!$B$2:$B$14,MATCH(C25,Summary!$A$2:$A$14,0)),"?"))</f>
        <v>Left Midfielder</v>
      </c>
      <c r="E25" s="5" t="str">
        <f aca="false">IF(C25="","",IFERROR(INDEX(Summary!$C$2:$C$14,MATCH(C25,Summary!$A$2:$A$14,0)),"?"))</f>
        <v>Centrocampo</v>
      </c>
      <c r="F25" s="6" t="n">
        <v>99</v>
      </c>
      <c r="H25" s="7" t="n">
        <f aca="false">IF(OR(B25="",F25=""),"",F25-ROW()/100000)</f>
        <v>98.99975</v>
      </c>
      <c r="I25" s="0" t="str">
        <f aca="false">IF(H25="","",C25&amp;"|"&amp;(COUNTIFS($C$2:$C$1000,C25,$H$2:$H$1000,"&gt;"&amp;H25)+1))</f>
        <v>LMF|1</v>
      </c>
    </row>
    <row r="26" customFormat="false" ht="15" hidden="false" customHeight="false" outlineLevel="0" collapsed="false">
      <c r="A26" s="2" t="n">
        <f aca="false">IF(F26="","",COUNTIF($F$2:$F$1000,"&gt;"&amp;F26)+1)</f>
        <v>24</v>
      </c>
      <c r="B26" s="3" t="s">
        <v>43</v>
      </c>
      <c r="C26" s="4" t="s">
        <v>28</v>
      </c>
      <c r="D26" s="5" t="str">
        <f aca="false">IF(C26="","",IFERROR(INDEX(Summary!$B$2:$B$14,MATCH(C26,Summary!$A$2:$A$14,0)),"?"))</f>
        <v>Right Midfielder</v>
      </c>
      <c r="E26" s="5" t="str">
        <f aca="false">IF(C26="","",IFERROR(INDEX(Summary!$C$2:$C$14,MATCH(C26,Summary!$A$2:$A$14,0)),"?"))</f>
        <v>Centrocampo</v>
      </c>
      <c r="F26" s="6" t="n">
        <v>99</v>
      </c>
      <c r="H26" s="7" t="n">
        <f aca="false">IF(OR(B26="",F26=""),"",F26-ROW()/100000)</f>
        <v>98.99974</v>
      </c>
      <c r="I26" s="0" t="str">
        <f aca="false">IF(H26="","",C26&amp;"|"&amp;(COUNTIFS($C$2:$C$1000,C26,$H$2:$H$1000,"&gt;"&amp;H26)+1))</f>
        <v>RMF|2</v>
      </c>
    </row>
    <row r="27" customFormat="false" ht="15" hidden="false" customHeight="false" outlineLevel="0" collapsed="false">
      <c r="A27" s="2" t="n">
        <f aca="false">IF(F27="","",COUNTIF($F$2:$F$1000,"&gt;"&amp;F27)+1)</f>
        <v>24</v>
      </c>
      <c r="B27" s="3" t="s">
        <v>44</v>
      </c>
      <c r="C27" s="4" t="s">
        <v>21</v>
      </c>
      <c r="D27" s="5" t="str">
        <f aca="false">IF(C27="","",IFERROR(INDEX(Summary!$B$2:$B$14,MATCH(C27,Summary!$A$2:$A$14,0)),"?"))</f>
        <v>Center Forward</v>
      </c>
      <c r="E27" s="5" t="str">
        <f aca="false">IF(C27="","",IFERROR(INDEX(Summary!$C$2:$C$14,MATCH(C27,Summary!$A$2:$A$14,0)),"?"))</f>
        <v>Attacco</v>
      </c>
      <c r="F27" s="6" t="n">
        <v>99</v>
      </c>
      <c r="H27" s="7" t="n">
        <f aca="false">IF(OR(B27="",F27=""),"",F27-ROW()/100000)</f>
        <v>98.99973</v>
      </c>
      <c r="I27" s="0" t="str">
        <f aca="false">IF(H27="","",C27&amp;"|"&amp;(COUNTIFS($C$2:$C$1000,C27,$H$2:$H$1000,"&gt;"&amp;H27)+1))</f>
        <v>CF|7</v>
      </c>
    </row>
    <row r="28" customFormat="false" ht="15" hidden="false" customHeight="false" outlineLevel="0" collapsed="false">
      <c r="A28" s="2" t="n">
        <f aca="false">IF(F28="","",COUNTIF($F$2:$F$1000,"&gt;"&amp;F28)+1)</f>
        <v>24</v>
      </c>
      <c r="B28" s="3" t="s">
        <v>45</v>
      </c>
      <c r="C28" s="4" t="s">
        <v>21</v>
      </c>
      <c r="D28" s="5" t="str">
        <f aca="false">IF(C28="","",IFERROR(INDEX(Summary!$B$2:$B$14,MATCH(C28,Summary!$A$2:$A$14,0)),"?"))</f>
        <v>Center Forward</v>
      </c>
      <c r="E28" s="5" t="str">
        <f aca="false">IF(C28="","",IFERROR(INDEX(Summary!$C$2:$C$14,MATCH(C28,Summary!$A$2:$A$14,0)),"?"))</f>
        <v>Attacco</v>
      </c>
      <c r="F28" s="6" t="n">
        <v>99</v>
      </c>
      <c r="H28" s="7" t="n">
        <f aca="false">IF(OR(B28="",F28=""),"",F28-ROW()/100000)</f>
        <v>98.99972</v>
      </c>
      <c r="I28" s="0" t="str">
        <f aca="false">IF(H28="","",C28&amp;"|"&amp;(COUNTIFS($C$2:$C$1000,C28,$H$2:$H$1000,"&gt;"&amp;H28)+1))</f>
        <v>CF|8</v>
      </c>
    </row>
    <row r="29" customFormat="false" ht="15" hidden="false" customHeight="false" outlineLevel="0" collapsed="false">
      <c r="A29" s="2" t="n">
        <f aca="false">IF(F29="","",COUNTIF($F$2:$F$1000,"&gt;"&amp;F29)+1)</f>
        <v>24</v>
      </c>
      <c r="B29" s="3" t="s">
        <v>46</v>
      </c>
      <c r="C29" s="4" t="s">
        <v>21</v>
      </c>
      <c r="D29" s="5" t="str">
        <f aca="false">IF(C29="","",IFERROR(INDEX(Summary!$B$2:$B$14,MATCH(C29,Summary!$A$2:$A$14,0)),"?"))</f>
        <v>Center Forward</v>
      </c>
      <c r="E29" s="5" t="str">
        <f aca="false">IF(C29="","",IFERROR(INDEX(Summary!$C$2:$C$14,MATCH(C29,Summary!$A$2:$A$14,0)),"?"))</f>
        <v>Attacco</v>
      </c>
      <c r="F29" s="6" t="n">
        <v>99</v>
      </c>
      <c r="H29" s="7" t="n">
        <f aca="false">IF(OR(B29="",F29=""),"",F29-ROW()/100000)</f>
        <v>98.99971</v>
      </c>
      <c r="I29" s="0" t="str">
        <f aca="false">IF(H29="","",C29&amp;"|"&amp;(COUNTIFS($C$2:$C$1000,C29,$H$2:$H$1000,"&gt;"&amp;H29)+1))</f>
        <v>CF|9</v>
      </c>
    </row>
    <row r="30" customFormat="false" ht="15" hidden="false" customHeight="false" outlineLevel="0" collapsed="false">
      <c r="A30" s="2" t="n">
        <f aca="false">IF(F30="","",COUNTIF($F$2:$F$1000,"&gt;"&amp;F30)+1)</f>
        <v>29</v>
      </c>
      <c r="B30" s="3" t="s">
        <v>47</v>
      </c>
      <c r="C30" s="4" t="s">
        <v>9</v>
      </c>
      <c r="D30" s="5" t="str">
        <f aca="false">IF(C30="","",IFERROR(INDEX(Summary!$B$2:$B$14,MATCH(C30,Summary!$A$2:$A$14,0)),"?"))</f>
        <v>Goalkeeper</v>
      </c>
      <c r="E30" s="5" t="str">
        <f aca="false">IF(C30="","",IFERROR(INDEX(Summary!$C$2:$C$14,MATCH(C30,Summary!$A$2:$A$14,0)),"?"))</f>
        <v>Portieri</v>
      </c>
      <c r="F30" s="6" t="n">
        <v>98</v>
      </c>
      <c r="H30" s="7" t="n">
        <f aca="false">IF(OR(B30="",F30=""),"",F30-ROW()/100000)</f>
        <v>97.9997</v>
      </c>
      <c r="I30" s="0" t="str">
        <f aca="false">IF(H30="","",C30&amp;"|"&amp;(COUNTIFS($C$2:$C$1000,C30,$H$2:$H$1000,"&gt;"&amp;H30)+1))</f>
        <v>GK|5</v>
      </c>
    </row>
    <row r="31" customFormat="false" ht="15" hidden="false" customHeight="false" outlineLevel="0" collapsed="false">
      <c r="A31" s="2" t="n">
        <f aca="false">IF(F31="","",COUNTIF($F$2:$F$1000,"&gt;"&amp;F31)+1)</f>
        <v>29</v>
      </c>
      <c r="B31" s="3" t="s">
        <v>48</v>
      </c>
      <c r="C31" s="4" t="s">
        <v>38</v>
      </c>
      <c r="D31" s="5" t="str">
        <f aca="false">IF(C31="","",IFERROR(INDEX(Summary!$B$2:$B$14,MATCH(C31,Summary!$A$2:$A$14,0)),"?"))</f>
        <v>Center Back</v>
      </c>
      <c r="E31" s="5" t="str">
        <f aca="false">IF(C31="","",IFERROR(INDEX(Summary!$C$2:$C$14,MATCH(C31,Summary!$A$2:$A$14,0)),"?"))</f>
        <v>Difensori</v>
      </c>
      <c r="F31" s="6" t="n">
        <v>98</v>
      </c>
      <c r="H31" s="7" t="n">
        <f aca="false">IF(OR(B31="",F31=""),"",F31-ROW()/100000)</f>
        <v>97.99969</v>
      </c>
      <c r="I31" s="0" t="str">
        <f aca="false">IF(H31="","",C31&amp;"|"&amp;(COUNTIFS($C$2:$C$1000,C31,$H$2:$H$1000,"&gt;"&amp;H31)+1))</f>
        <v>CB|2</v>
      </c>
    </row>
    <row r="32" customFormat="false" ht="15" hidden="false" customHeight="false" outlineLevel="0" collapsed="false">
      <c r="A32" s="2" t="n">
        <f aca="false">IF(F32="","",COUNTIF($F$2:$F$1000,"&gt;"&amp;F32)+1)</f>
        <v>29</v>
      </c>
      <c r="B32" s="3" t="s">
        <v>49</v>
      </c>
      <c r="C32" s="4" t="s">
        <v>38</v>
      </c>
      <c r="D32" s="5" t="str">
        <f aca="false">IF(C32="","",IFERROR(INDEX(Summary!$B$2:$B$14,MATCH(C32,Summary!$A$2:$A$14,0)),"?"))</f>
        <v>Center Back</v>
      </c>
      <c r="E32" s="5" t="str">
        <f aca="false">IF(C32="","",IFERROR(INDEX(Summary!$C$2:$C$14,MATCH(C32,Summary!$A$2:$A$14,0)),"?"))</f>
        <v>Difensori</v>
      </c>
      <c r="F32" s="6" t="n">
        <v>98</v>
      </c>
      <c r="H32" s="7" t="n">
        <f aca="false">IF(OR(B32="",F32=""),"",F32-ROW()/100000)</f>
        <v>97.99968</v>
      </c>
      <c r="I32" s="0" t="str">
        <f aca="false">IF(H32="","",C32&amp;"|"&amp;(COUNTIFS($C$2:$C$1000,C32,$H$2:$H$1000,"&gt;"&amp;H32)+1))</f>
        <v>CB|3</v>
      </c>
    </row>
    <row r="33" customFormat="false" ht="15" hidden="false" customHeight="false" outlineLevel="0" collapsed="false">
      <c r="A33" s="2" t="n">
        <f aca="false">IF(F33="","",COUNTIF($F$2:$F$1000,"&gt;"&amp;F33)+1)</f>
        <v>29</v>
      </c>
      <c r="B33" s="3" t="s">
        <v>50</v>
      </c>
      <c r="C33" s="4" t="s">
        <v>51</v>
      </c>
      <c r="D33" s="5" t="str">
        <f aca="false">IF(C33="","",IFERROR(INDEX(Summary!$B$2:$B$14,MATCH(C33,Summary!$A$2:$A$14,0)),"?"))</f>
        <v>Defensive Midfielder</v>
      </c>
      <c r="E33" s="5" t="str">
        <f aca="false">IF(C33="","",IFERROR(INDEX(Summary!$C$2:$C$14,MATCH(C33,Summary!$A$2:$A$14,0)),"?"))</f>
        <v>Centrocampo</v>
      </c>
      <c r="F33" s="6" t="n">
        <v>98</v>
      </c>
      <c r="H33" s="7" t="n">
        <f aca="false">IF(OR(B33="",F33=""),"",F33-ROW()/100000)</f>
        <v>97.99967</v>
      </c>
      <c r="I33" s="0" t="str">
        <f aca="false">IF(H33="","",C33&amp;"|"&amp;(COUNTIFS($C$2:$C$1000,C33,$H$2:$H$1000,"&gt;"&amp;H33)+1))</f>
        <v>DMF|1</v>
      </c>
    </row>
    <row r="34" customFormat="false" ht="15" hidden="false" customHeight="false" outlineLevel="0" collapsed="false">
      <c r="A34" s="2" t="n">
        <f aca="false">IF(F34="","",COUNTIF($F$2:$F$1000,"&gt;"&amp;F34)+1)</f>
        <v>29</v>
      </c>
      <c r="B34" s="3" t="s">
        <v>52</v>
      </c>
      <c r="C34" s="4" t="s">
        <v>42</v>
      </c>
      <c r="D34" s="5" t="str">
        <f aca="false">IF(C34="","",IFERROR(INDEX(Summary!$B$2:$B$14,MATCH(C34,Summary!$A$2:$A$14,0)),"?"))</f>
        <v>Left Midfielder</v>
      </c>
      <c r="E34" s="5" t="str">
        <f aca="false">IF(C34="","",IFERROR(INDEX(Summary!$C$2:$C$14,MATCH(C34,Summary!$A$2:$A$14,0)),"?"))</f>
        <v>Centrocampo</v>
      </c>
      <c r="F34" s="6" t="n">
        <v>98</v>
      </c>
      <c r="H34" s="7" t="n">
        <f aca="false">IF(OR(B34="",F34=""),"",F34-ROW()/100000)</f>
        <v>97.99966</v>
      </c>
      <c r="I34" s="0" t="str">
        <f aca="false">IF(H34="","",C34&amp;"|"&amp;(COUNTIFS($C$2:$C$1000,C34,$H$2:$H$1000,"&gt;"&amp;H34)+1))</f>
        <v>LMF|2</v>
      </c>
    </row>
    <row r="35" customFormat="false" ht="15" hidden="false" customHeight="false" outlineLevel="0" collapsed="false">
      <c r="A35" s="2" t="n">
        <f aca="false">IF(F35="","",COUNTIF($F$2:$F$1000,"&gt;"&amp;F35)+1)</f>
        <v>29</v>
      </c>
      <c r="B35" s="3" t="s">
        <v>53</v>
      </c>
      <c r="C35" s="4" t="s">
        <v>28</v>
      </c>
      <c r="D35" s="5" t="str">
        <f aca="false">IF(C35="","",IFERROR(INDEX(Summary!$B$2:$B$14,MATCH(C35,Summary!$A$2:$A$14,0)),"?"))</f>
        <v>Right Midfielder</v>
      </c>
      <c r="E35" s="5" t="str">
        <f aca="false">IF(C35="","",IFERROR(INDEX(Summary!$C$2:$C$14,MATCH(C35,Summary!$A$2:$A$14,0)),"?"))</f>
        <v>Centrocampo</v>
      </c>
      <c r="F35" s="6" t="n">
        <v>98</v>
      </c>
      <c r="H35" s="7" t="n">
        <f aca="false">IF(OR(B35="",F35=""),"",F35-ROW()/100000)</f>
        <v>97.99965</v>
      </c>
      <c r="I35" s="0" t="str">
        <f aca="false">IF(H35="","",C35&amp;"|"&amp;(COUNTIFS($C$2:$C$1000,C35,$H$2:$H$1000,"&gt;"&amp;H35)+1))</f>
        <v>RMF|3</v>
      </c>
    </row>
    <row r="36" customFormat="false" ht="15" hidden="false" customHeight="false" outlineLevel="0" collapsed="false">
      <c r="A36" s="2" t="n">
        <f aca="false">IF(F36="","",COUNTIF($F$2:$F$1000,"&gt;"&amp;F36)+1)</f>
        <v>29</v>
      </c>
      <c r="B36" s="3" t="s">
        <v>54</v>
      </c>
      <c r="C36" s="4" t="s">
        <v>21</v>
      </c>
      <c r="D36" s="5" t="str">
        <f aca="false">IF(C36="","",IFERROR(INDEX(Summary!$B$2:$B$14,MATCH(C36,Summary!$A$2:$A$14,0)),"?"))</f>
        <v>Center Forward</v>
      </c>
      <c r="E36" s="5" t="str">
        <f aca="false">IF(C36="","",IFERROR(INDEX(Summary!$C$2:$C$14,MATCH(C36,Summary!$A$2:$A$14,0)),"?"))</f>
        <v>Attacco</v>
      </c>
      <c r="F36" s="6" t="n">
        <v>98</v>
      </c>
      <c r="H36" s="7" t="n">
        <f aca="false">IF(OR(B36="",F36=""),"",F36-ROW()/100000)</f>
        <v>97.99964</v>
      </c>
      <c r="I36" s="0" t="str">
        <f aca="false">IF(H36="","",C36&amp;"|"&amp;(COUNTIFS($C$2:$C$1000,C36,$H$2:$H$1000,"&gt;"&amp;H36)+1))</f>
        <v>CF|10</v>
      </c>
    </row>
    <row r="37" customFormat="false" ht="15" hidden="false" customHeight="false" outlineLevel="0" collapsed="false">
      <c r="A37" s="2" t="n">
        <f aca="false">IF(F37="","",COUNTIF($F$2:$F$1000,"&gt;"&amp;F37)+1)</f>
        <v>36</v>
      </c>
      <c r="B37" s="3" t="s">
        <v>55</v>
      </c>
      <c r="C37" s="4" t="s">
        <v>42</v>
      </c>
      <c r="D37" s="5" t="str">
        <f aca="false">IF(C37="","",IFERROR(INDEX(Summary!$B$2:$B$14,MATCH(C37,Summary!$A$2:$A$14,0)),"?"))</f>
        <v>Left Midfielder</v>
      </c>
      <c r="E37" s="5" t="str">
        <f aca="false">IF(C37="","",IFERROR(INDEX(Summary!$C$2:$C$14,MATCH(C37,Summary!$A$2:$A$14,0)),"?"))</f>
        <v>Centrocampo</v>
      </c>
      <c r="F37" s="6" t="n">
        <v>97</v>
      </c>
      <c r="H37" s="7" t="n">
        <f aca="false">IF(OR(B37="",F37=""),"",F37-ROW()/100000)</f>
        <v>96.99963</v>
      </c>
      <c r="I37" s="0" t="str">
        <f aca="false">IF(H37="","",C37&amp;"|"&amp;(COUNTIFS($C$2:$C$1000,C37,$H$2:$H$1000,"&gt;"&amp;H37)+1))</f>
        <v>LMF|3</v>
      </c>
    </row>
    <row r="38" customFormat="false" ht="15" hidden="false" customHeight="false" outlineLevel="0" collapsed="false">
      <c r="A38" s="2" t="n">
        <f aca="false">IF(F38="","",COUNTIF($F$2:$F$1000,"&gt;"&amp;F38)+1)</f>
        <v>36</v>
      </c>
      <c r="B38" s="3" t="s">
        <v>56</v>
      </c>
      <c r="C38" s="4" t="s">
        <v>31</v>
      </c>
      <c r="D38" s="5" t="str">
        <f aca="false">IF(C38="","",IFERROR(INDEX(Summary!$B$2:$B$14,MATCH(C38,Summary!$A$2:$A$14,0)),"?"))</f>
        <v>Attacking Midfielder</v>
      </c>
      <c r="E38" s="5" t="str">
        <f aca="false">IF(C38="","",IFERROR(INDEX(Summary!$C$2:$C$14,MATCH(C38,Summary!$A$2:$A$14,0)),"?"))</f>
        <v>Centrocampo</v>
      </c>
      <c r="F38" s="6" t="n">
        <v>97</v>
      </c>
      <c r="H38" s="7" t="n">
        <f aca="false">IF(OR(B38="",F38=""),"",F38-ROW()/100000)</f>
        <v>96.99962</v>
      </c>
      <c r="I38" s="0" t="str">
        <f aca="false">IF(H38="","",C38&amp;"|"&amp;(COUNTIFS($C$2:$C$1000,C38,$H$2:$H$1000,"&gt;"&amp;H38)+1))</f>
        <v>AMF|2</v>
      </c>
    </row>
    <row r="39" customFormat="false" ht="15" hidden="false" customHeight="false" outlineLevel="0" collapsed="false">
      <c r="A39" s="2" t="n">
        <f aca="false">IF(F39="","",COUNTIF($F$2:$F$1000,"&gt;"&amp;F39)+1)</f>
        <v>36</v>
      </c>
      <c r="B39" s="3" t="s">
        <v>57</v>
      </c>
      <c r="C39" s="4" t="s">
        <v>31</v>
      </c>
      <c r="D39" s="5" t="str">
        <f aca="false">IF(C39="","",IFERROR(INDEX(Summary!$B$2:$B$14,MATCH(C39,Summary!$A$2:$A$14,0)),"?"))</f>
        <v>Attacking Midfielder</v>
      </c>
      <c r="E39" s="5" t="str">
        <f aca="false">IF(C39="","",IFERROR(INDEX(Summary!$C$2:$C$14,MATCH(C39,Summary!$A$2:$A$14,0)),"?"))</f>
        <v>Centrocampo</v>
      </c>
      <c r="F39" s="6" t="n">
        <v>97</v>
      </c>
      <c r="H39" s="7" t="n">
        <f aca="false">IF(OR(B39="",F39=""),"",F39-ROW()/100000)</f>
        <v>96.99961</v>
      </c>
      <c r="I39" s="0" t="str">
        <f aca="false">IF(H39="","",C39&amp;"|"&amp;(COUNTIFS($C$2:$C$1000,C39,$H$2:$H$1000,"&gt;"&amp;H39)+1))</f>
        <v>AMF|3</v>
      </c>
    </row>
    <row r="40" customFormat="false" ht="15" hidden="false" customHeight="false" outlineLevel="0" collapsed="false">
      <c r="A40" s="2" t="n">
        <f aca="false">IF(F40="","",COUNTIF($F$2:$F$1000,"&gt;"&amp;F40)+1)</f>
        <v>36</v>
      </c>
      <c r="B40" s="3" t="s">
        <v>58</v>
      </c>
      <c r="C40" s="4" t="s">
        <v>21</v>
      </c>
      <c r="D40" s="5" t="str">
        <f aca="false">IF(C40="","",IFERROR(INDEX(Summary!$B$2:$B$14,MATCH(C40,Summary!$A$2:$A$14,0)),"?"))</f>
        <v>Center Forward</v>
      </c>
      <c r="E40" s="5" t="str">
        <f aca="false">IF(C40="","",IFERROR(INDEX(Summary!$C$2:$C$14,MATCH(C40,Summary!$A$2:$A$14,0)),"?"))</f>
        <v>Attacco</v>
      </c>
      <c r="F40" s="6" t="n">
        <v>97</v>
      </c>
      <c r="H40" s="7" t="n">
        <f aca="false">IF(OR(B40="",F40=""),"",F40-ROW()/100000)</f>
        <v>96.9996</v>
      </c>
      <c r="I40" s="0" t="str">
        <f aca="false">IF(H40="","",C40&amp;"|"&amp;(COUNTIFS($C$2:$C$1000,C40,$H$2:$H$1000,"&gt;"&amp;H40)+1))</f>
        <v>CF|11</v>
      </c>
    </row>
    <row r="41" customFormat="false" ht="15" hidden="false" customHeight="false" outlineLevel="0" collapsed="false">
      <c r="A41" s="2" t="n">
        <f aca="false">IF(F41="","",COUNTIF($F$2:$F$1000,"&gt;"&amp;F41)+1)</f>
        <v>36</v>
      </c>
      <c r="B41" s="3" t="s">
        <v>59</v>
      </c>
      <c r="C41" s="4" t="s">
        <v>21</v>
      </c>
      <c r="D41" s="5" t="str">
        <f aca="false">IF(C41="","",IFERROR(INDEX(Summary!$B$2:$B$14,MATCH(C41,Summary!$A$2:$A$14,0)),"?"))</f>
        <v>Center Forward</v>
      </c>
      <c r="E41" s="5" t="str">
        <f aca="false">IF(C41="","",IFERROR(INDEX(Summary!$C$2:$C$14,MATCH(C41,Summary!$A$2:$A$14,0)),"?"))</f>
        <v>Attacco</v>
      </c>
      <c r="F41" s="6" t="n">
        <v>97</v>
      </c>
      <c r="H41" s="7" t="n">
        <f aca="false">IF(OR(B41="",F41=""),"",F41-ROW()/100000)</f>
        <v>96.99959</v>
      </c>
      <c r="I41" s="0" t="str">
        <f aca="false">IF(H41="","",C41&amp;"|"&amp;(COUNTIFS($C$2:$C$1000,C41,$H$2:$H$1000,"&gt;"&amp;H41)+1))</f>
        <v>CF|12</v>
      </c>
    </row>
    <row r="42" customFormat="false" ht="15" hidden="false" customHeight="false" outlineLevel="0" collapsed="false">
      <c r="A42" s="2" t="n">
        <f aca="false">IF(F42="","",COUNTIF($F$2:$F$1000,"&gt;"&amp;F42)+1)</f>
        <v>41</v>
      </c>
      <c r="B42" s="3" t="s">
        <v>60</v>
      </c>
      <c r="C42" s="4" t="s">
        <v>61</v>
      </c>
      <c r="D42" s="5" t="str">
        <f aca="false">IF(C42="","",IFERROR(INDEX(Summary!$B$2:$B$14,MATCH(C42,Summary!$A$2:$A$14,0)),"?"))</f>
        <v>Right Back</v>
      </c>
      <c r="E42" s="5" t="str">
        <f aca="false">IF(C42="","",IFERROR(INDEX(Summary!$C$2:$C$14,MATCH(C42,Summary!$A$2:$A$14,0)),"?"))</f>
        <v>Difensori</v>
      </c>
      <c r="F42" s="6" t="n">
        <v>96</v>
      </c>
      <c r="H42" s="7" t="n">
        <f aca="false">IF(OR(B42="",F42=""),"",F42-ROW()/100000)</f>
        <v>95.99958</v>
      </c>
      <c r="I42" s="0" t="str">
        <f aca="false">IF(H42="","",C42&amp;"|"&amp;(COUNTIFS($C$2:$C$1000,C42,$H$2:$H$1000,"&gt;"&amp;H42)+1))</f>
        <v>RB|1</v>
      </c>
    </row>
    <row r="43" customFormat="false" ht="15" hidden="false" customHeight="false" outlineLevel="0" collapsed="false">
      <c r="A43" s="2" t="n">
        <f aca="false">IF(F43="","",COUNTIF($F$2:$F$1000,"&gt;"&amp;F43)+1)</f>
        <v>41</v>
      </c>
      <c r="B43" s="3" t="s">
        <v>60</v>
      </c>
      <c r="C43" s="4" t="s">
        <v>61</v>
      </c>
      <c r="D43" s="5" t="str">
        <f aca="false">IF(C43="","",IFERROR(INDEX(Summary!$B$2:$B$14,MATCH(C43,Summary!$A$2:$A$14,0)),"?"))</f>
        <v>Right Back</v>
      </c>
      <c r="E43" s="5" t="str">
        <f aca="false">IF(C43="","",IFERROR(INDEX(Summary!$C$2:$C$14,MATCH(C43,Summary!$A$2:$A$14,0)),"?"))</f>
        <v>Difensori</v>
      </c>
      <c r="F43" s="6" t="n">
        <v>96</v>
      </c>
      <c r="H43" s="7" t="n">
        <f aca="false">IF(OR(B43="",F43=""),"",F43-ROW()/100000)</f>
        <v>95.99957</v>
      </c>
      <c r="I43" s="0" t="str">
        <f aca="false">IF(H43="","",C43&amp;"|"&amp;(COUNTIFS($C$2:$C$1000,C43,$H$2:$H$1000,"&gt;"&amp;H43)+1))</f>
        <v>RB|2</v>
      </c>
    </row>
    <row r="44" customFormat="false" ht="15" hidden="false" customHeight="false" outlineLevel="0" collapsed="false">
      <c r="A44" s="2" t="n">
        <f aca="false">IF(F44="","",COUNTIF($F$2:$F$1000,"&gt;"&amp;F44)+1)</f>
        <v>41</v>
      </c>
      <c r="B44" s="3" t="s">
        <v>62</v>
      </c>
      <c r="C44" s="4" t="s">
        <v>51</v>
      </c>
      <c r="D44" s="5" t="str">
        <f aca="false">IF(C44="","",IFERROR(INDEX(Summary!$B$2:$B$14,MATCH(C44,Summary!$A$2:$A$14,0)),"?"))</f>
        <v>Defensive Midfielder</v>
      </c>
      <c r="E44" s="5" t="str">
        <f aca="false">IF(C44="","",IFERROR(INDEX(Summary!$C$2:$C$14,MATCH(C44,Summary!$A$2:$A$14,0)),"?"))</f>
        <v>Centrocampo</v>
      </c>
      <c r="F44" s="6" t="n">
        <v>96</v>
      </c>
      <c r="H44" s="7" t="n">
        <f aca="false">IF(OR(B44="",F44=""),"",F44-ROW()/100000)</f>
        <v>95.99956</v>
      </c>
      <c r="I44" s="0" t="str">
        <f aca="false">IF(H44="","",C44&amp;"|"&amp;(COUNTIFS($C$2:$C$1000,C44,$H$2:$H$1000,"&gt;"&amp;H44)+1))</f>
        <v>DMF|2</v>
      </c>
    </row>
    <row r="45" customFormat="false" ht="15" hidden="false" customHeight="false" outlineLevel="0" collapsed="false">
      <c r="A45" s="2" t="n">
        <f aca="false">IF(F45="","",COUNTIF($F$2:$F$1000,"&gt;"&amp;F45)+1)</f>
        <v>41</v>
      </c>
      <c r="B45" s="3" t="s">
        <v>63</v>
      </c>
      <c r="C45" s="4" t="s">
        <v>21</v>
      </c>
      <c r="D45" s="5" t="str">
        <f aca="false">IF(C45="","",IFERROR(INDEX(Summary!$B$2:$B$14,MATCH(C45,Summary!$A$2:$A$14,0)),"?"))</f>
        <v>Center Forward</v>
      </c>
      <c r="E45" s="5" t="str">
        <f aca="false">IF(C45="","",IFERROR(INDEX(Summary!$C$2:$C$14,MATCH(C45,Summary!$A$2:$A$14,0)),"?"))</f>
        <v>Attacco</v>
      </c>
      <c r="F45" s="6" t="n">
        <v>96</v>
      </c>
      <c r="H45" s="7" t="n">
        <f aca="false">IF(OR(B45="",F45=""),"",F45-ROW()/100000)</f>
        <v>95.99955</v>
      </c>
      <c r="I45" s="0" t="str">
        <f aca="false">IF(H45="","",C45&amp;"|"&amp;(COUNTIFS($C$2:$C$1000,C45,$H$2:$H$1000,"&gt;"&amp;H45)+1))</f>
        <v>CF|13</v>
      </c>
    </row>
    <row r="46" customFormat="false" ht="15" hidden="false" customHeight="false" outlineLevel="0" collapsed="false">
      <c r="A46" s="2" t="n">
        <f aca="false">IF(F46="","",COUNTIF($F$2:$F$1000,"&gt;"&amp;F46)+1)</f>
        <v>41</v>
      </c>
      <c r="B46" s="3" t="s">
        <v>64</v>
      </c>
      <c r="C46" s="4" t="s">
        <v>21</v>
      </c>
      <c r="D46" s="5" t="str">
        <f aca="false">IF(C46="","",IFERROR(INDEX(Summary!$B$2:$B$14,MATCH(C46,Summary!$A$2:$A$14,0)),"?"))</f>
        <v>Center Forward</v>
      </c>
      <c r="E46" s="5" t="str">
        <f aca="false">IF(C46="","",IFERROR(INDEX(Summary!$C$2:$C$14,MATCH(C46,Summary!$A$2:$A$14,0)),"?"))</f>
        <v>Attacco</v>
      </c>
      <c r="F46" s="6" t="n">
        <v>96</v>
      </c>
      <c r="H46" s="7" t="n">
        <f aca="false">IF(OR(B46="",F46=""),"",F46-ROW()/100000)</f>
        <v>95.99954</v>
      </c>
      <c r="I46" s="0" t="str">
        <f aca="false">IF(H46="","",C46&amp;"|"&amp;(COUNTIFS($C$2:$C$1000,C46,$H$2:$H$1000,"&gt;"&amp;H46)+1))</f>
        <v>CF|14</v>
      </c>
    </row>
    <row r="47" customFormat="false" ht="15" hidden="false" customHeight="false" outlineLevel="0" collapsed="false">
      <c r="A47" s="2" t="n">
        <f aca="false">IF(F47="","",COUNTIF($F$2:$F$1000,"&gt;"&amp;F47)+1)</f>
        <v>41</v>
      </c>
      <c r="B47" s="3" t="s">
        <v>65</v>
      </c>
      <c r="C47" s="4" t="s">
        <v>21</v>
      </c>
      <c r="D47" s="5" t="str">
        <f aca="false">IF(C47="","",IFERROR(INDEX(Summary!$B$2:$B$14,MATCH(C47,Summary!$A$2:$A$14,0)),"?"))</f>
        <v>Center Forward</v>
      </c>
      <c r="E47" s="5" t="str">
        <f aca="false">IF(C47="","",IFERROR(INDEX(Summary!$C$2:$C$14,MATCH(C47,Summary!$A$2:$A$14,0)),"?"))</f>
        <v>Attacco</v>
      </c>
      <c r="F47" s="6" t="n">
        <v>96</v>
      </c>
      <c r="H47" s="7" t="n">
        <f aca="false">IF(OR(B47="",F47=""),"",F47-ROW()/100000)</f>
        <v>95.99953</v>
      </c>
      <c r="I47" s="0" t="str">
        <f aca="false">IF(H47="","",C47&amp;"|"&amp;(COUNTIFS($C$2:$C$1000,C47,$H$2:$H$1000,"&gt;"&amp;H47)+1))</f>
        <v>CF|15</v>
      </c>
    </row>
    <row r="48" customFormat="false" ht="15" hidden="false" customHeight="false" outlineLevel="0" collapsed="false">
      <c r="A48" s="2" t="n">
        <f aca="false">IF(F48="","",COUNTIF($F$2:$F$1000,"&gt;"&amp;F48)+1)</f>
        <v>47</v>
      </c>
      <c r="B48" s="3" t="s">
        <v>66</v>
      </c>
      <c r="C48" s="4" t="s">
        <v>38</v>
      </c>
      <c r="D48" s="5" t="str">
        <f aca="false">IF(C48="","",IFERROR(INDEX(Summary!$B$2:$B$14,MATCH(C48,Summary!$A$2:$A$14,0)),"?"))</f>
        <v>Center Back</v>
      </c>
      <c r="E48" s="5" t="str">
        <f aca="false">IF(C48="","",IFERROR(INDEX(Summary!$C$2:$C$14,MATCH(C48,Summary!$A$2:$A$14,0)),"?"))</f>
        <v>Difensori</v>
      </c>
      <c r="F48" s="6" t="n">
        <v>95</v>
      </c>
      <c r="H48" s="7" t="n">
        <f aca="false">IF(OR(B48="",F48=""),"",F48-ROW()/100000)</f>
        <v>94.99952</v>
      </c>
      <c r="I48" s="0" t="str">
        <f aca="false">IF(H48="","",C48&amp;"|"&amp;(COUNTIFS($C$2:$C$1000,C48,$H$2:$H$1000,"&gt;"&amp;H48)+1))</f>
        <v>CB|4</v>
      </c>
    </row>
    <row r="49" customFormat="false" ht="15" hidden="false" customHeight="false" outlineLevel="0" collapsed="false">
      <c r="A49" s="2" t="n">
        <f aca="false">IF(F49="","",COUNTIF($F$2:$F$1000,"&gt;"&amp;F49)+1)</f>
        <v>47</v>
      </c>
      <c r="B49" s="3" t="s">
        <v>67</v>
      </c>
      <c r="C49" s="4" t="s">
        <v>38</v>
      </c>
      <c r="D49" s="5" t="str">
        <f aca="false">IF(C49="","",IFERROR(INDEX(Summary!$B$2:$B$14,MATCH(C49,Summary!$A$2:$A$14,0)),"?"))</f>
        <v>Center Back</v>
      </c>
      <c r="E49" s="5" t="str">
        <f aca="false">IF(C49="","",IFERROR(INDEX(Summary!$C$2:$C$14,MATCH(C49,Summary!$A$2:$A$14,0)),"?"))</f>
        <v>Difensori</v>
      </c>
      <c r="F49" s="6" t="n">
        <v>95</v>
      </c>
      <c r="H49" s="7" t="n">
        <f aca="false">IF(OR(B49="",F49=""),"",F49-ROW()/100000)</f>
        <v>94.99951</v>
      </c>
      <c r="I49" s="0" t="str">
        <f aca="false">IF(H49="","",C49&amp;"|"&amp;(COUNTIFS($C$2:$C$1000,C49,$H$2:$H$1000,"&gt;"&amp;H49)+1))</f>
        <v>CB|5</v>
      </c>
    </row>
    <row r="50" customFormat="false" ht="15" hidden="false" customHeight="false" outlineLevel="0" collapsed="false">
      <c r="A50" s="2" t="n">
        <f aca="false">IF(F50="","",COUNTIF($F$2:$F$1000,"&gt;"&amp;F50)+1)</f>
        <v>47</v>
      </c>
      <c r="B50" s="3" t="s">
        <v>68</v>
      </c>
      <c r="C50" s="4" t="s">
        <v>61</v>
      </c>
      <c r="D50" s="5" t="str">
        <f aca="false">IF(C50="","",IFERROR(INDEX(Summary!$B$2:$B$14,MATCH(C50,Summary!$A$2:$A$14,0)),"?"))</f>
        <v>Right Back</v>
      </c>
      <c r="E50" s="5" t="str">
        <f aca="false">IF(C50="","",IFERROR(INDEX(Summary!$C$2:$C$14,MATCH(C50,Summary!$A$2:$A$14,0)),"?"))</f>
        <v>Difensori</v>
      </c>
      <c r="F50" s="6" t="n">
        <v>95</v>
      </c>
      <c r="H50" s="7" t="n">
        <f aca="false">IF(OR(B50="",F50=""),"",F50-ROW()/100000)</f>
        <v>94.9995</v>
      </c>
      <c r="I50" s="0" t="str">
        <f aca="false">IF(H50="","",C50&amp;"|"&amp;(COUNTIFS($C$2:$C$1000,C50,$H$2:$H$1000,"&gt;"&amp;H50)+1))</f>
        <v>RB|3</v>
      </c>
    </row>
    <row r="51" customFormat="false" ht="15" hidden="false" customHeight="false" outlineLevel="0" collapsed="false">
      <c r="A51" s="2" t="n">
        <f aca="false">IF(F51="","",COUNTIF($F$2:$F$1000,"&gt;"&amp;F51)+1)</f>
        <v>47</v>
      </c>
      <c r="B51" s="3" t="s">
        <v>69</v>
      </c>
      <c r="C51" s="4" t="s">
        <v>51</v>
      </c>
      <c r="D51" s="5" t="str">
        <f aca="false">IF(C51="","",IFERROR(INDEX(Summary!$B$2:$B$14,MATCH(C51,Summary!$A$2:$A$14,0)),"?"))</f>
        <v>Defensive Midfielder</v>
      </c>
      <c r="E51" s="5" t="str">
        <f aca="false">IF(C51="","",IFERROR(INDEX(Summary!$C$2:$C$14,MATCH(C51,Summary!$A$2:$A$14,0)),"?"))</f>
        <v>Centrocampo</v>
      </c>
      <c r="F51" s="6" t="n">
        <v>95</v>
      </c>
      <c r="H51" s="7" t="n">
        <f aca="false">IF(OR(B51="",F51=""),"",F51-ROW()/100000)</f>
        <v>94.99949</v>
      </c>
      <c r="I51" s="0" t="str">
        <f aca="false">IF(H51="","",C51&amp;"|"&amp;(COUNTIFS($C$2:$C$1000,C51,$H$2:$H$1000,"&gt;"&amp;H51)+1))</f>
        <v>DMF|3</v>
      </c>
    </row>
    <row r="52" customFormat="false" ht="15" hidden="false" customHeight="false" outlineLevel="0" collapsed="false">
      <c r="A52" s="2" t="n">
        <f aca="false">IF(F52="","",COUNTIF($F$2:$F$1000,"&gt;"&amp;F52)+1)</f>
        <v>47</v>
      </c>
      <c r="B52" s="3" t="s">
        <v>70</v>
      </c>
      <c r="C52" s="4" t="s">
        <v>21</v>
      </c>
      <c r="D52" s="5" t="str">
        <f aca="false">IF(C52="","",IFERROR(INDEX(Summary!$B$2:$B$14,MATCH(C52,Summary!$A$2:$A$14,0)),"?"))</f>
        <v>Center Forward</v>
      </c>
      <c r="E52" s="5" t="str">
        <f aca="false">IF(C52="","",IFERROR(INDEX(Summary!$C$2:$C$14,MATCH(C52,Summary!$A$2:$A$14,0)),"?"))</f>
        <v>Attacco</v>
      </c>
      <c r="F52" s="6" t="n">
        <v>95</v>
      </c>
      <c r="H52" s="7" t="n">
        <f aca="false">IF(OR(B52="",F52=""),"",F52-ROW()/100000)</f>
        <v>94.99948</v>
      </c>
      <c r="I52" s="0" t="str">
        <f aca="false">IF(H52="","",C52&amp;"|"&amp;(COUNTIFS($C$2:$C$1000,C52,$H$2:$H$1000,"&gt;"&amp;H52)+1))</f>
        <v>CF|16</v>
      </c>
    </row>
    <row r="53" customFormat="false" ht="15" hidden="false" customHeight="false" outlineLevel="0" collapsed="false">
      <c r="A53" s="2" t="n">
        <f aca="false">IF(F53="","",COUNTIF($F$2:$F$1000,"&gt;"&amp;F53)+1)</f>
        <v>47</v>
      </c>
      <c r="B53" s="3" t="s">
        <v>71</v>
      </c>
      <c r="C53" s="4" t="s">
        <v>21</v>
      </c>
      <c r="D53" s="5" t="str">
        <f aca="false">IF(C53="","",IFERROR(INDEX(Summary!$B$2:$B$14,MATCH(C53,Summary!$A$2:$A$14,0)),"?"))</f>
        <v>Center Forward</v>
      </c>
      <c r="E53" s="5" t="str">
        <f aca="false">IF(C53="","",IFERROR(INDEX(Summary!$C$2:$C$14,MATCH(C53,Summary!$A$2:$A$14,0)),"?"))</f>
        <v>Attacco</v>
      </c>
      <c r="F53" s="6" t="n">
        <v>95</v>
      </c>
      <c r="H53" s="7" t="n">
        <f aca="false">IF(OR(B53="",F53=""),"",F53-ROW()/100000)</f>
        <v>94.99947</v>
      </c>
      <c r="I53" s="0" t="str">
        <f aca="false">IF(H53="","",C53&amp;"|"&amp;(COUNTIFS($C$2:$C$1000,C53,$H$2:$H$1000,"&gt;"&amp;H53)+1))</f>
        <v>CF|17</v>
      </c>
    </row>
    <row r="54" customFormat="false" ht="15" hidden="false" customHeight="false" outlineLevel="0" collapsed="false">
      <c r="A54" s="2" t="n">
        <f aca="false">IF(F54="","",COUNTIF($F$2:$F$1000,"&gt;"&amp;F54)+1)</f>
        <v>53</v>
      </c>
      <c r="B54" s="3" t="s">
        <v>72</v>
      </c>
      <c r="C54" s="4" t="s">
        <v>9</v>
      </c>
      <c r="D54" s="5" t="str">
        <f aca="false">IF(C54="","",IFERROR(INDEX(Summary!$B$2:$B$14,MATCH(C54,Summary!$A$2:$A$14,0)),"?"))</f>
        <v>Goalkeeper</v>
      </c>
      <c r="E54" s="5" t="str">
        <f aca="false">IF(C54="","",IFERROR(INDEX(Summary!$C$2:$C$14,MATCH(C54,Summary!$A$2:$A$14,0)),"?"))</f>
        <v>Portieri</v>
      </c>
      <c r="F54" s="6" t="n">
        <v>94</v>
      </c>
      <c r="H54" s="7" t="n">
        <f aca="false">IF(OR(B54="",F54=""),"",F54-ROW()/100000)</f>
        <v>93.99946</v>
      </c>
      <c r="I54" s="0" t="str">
        <f aca="false">IF(H54="","",C54&amp;"|"&amp;(COUNTIFS($C$2:$C$1000,C54,$H$2:$H$1000,"&gt;"&amp;H54)+1))</f>
        <v>GK|6</v>
      </c>
    </row>
    <row r="55" customFormat="false" ht="15" hidden="false" customHeight="false" outlineLevel="0" collapsed="false">
      <c r="A55" s="2" t="n">
        <f aca="false">IF(F55="","",COUNTIF($F$2:$F$1000,"&gt;"&amp;F55)+1)</f>
        <v>53</v>
      </c>
      <c r="B55" s="3" t="s">
        <v>73</v>
      </c>
      <c r="C55" s="4" t="s">
        <v>23</v>
      </c>
      <c r="D55" s="5" t="str">
        <f aca="false">IF(C55="","",IFERROR(INDEX(Summary!$B$2:$B$14,MATCH(C55,Summary!$A$2:$A$14,0)),"?"))</f>
        <v>Left Back</v>
      </c>
      <c r="E55" s="5" t="str">
        <f aca="false">IF(C55="","",IFERROR(INDEX(Summary!$C$2:$C$14,MATCH(C55,Summary!$A$2:$A$14,0)),"?"))</f>
        <v>Difensori</v>
      </c>
      <c r="F55" s="6" t="n">
        <v>94</v>
      </c>
      <c r="H55" s="7" t="n">
        <f aca="false">IF(OR(B55="",F55=""),"",F55-ROW()/100000)</f>
        <v>93.99945</v>
      </c>
      <c r="I55" s="0" t="str">
        <f aca="false">IF(H55="","",C55&amp;"|"&amp;(COUNTIFS($C$2:$C$1000,C55,$H$2:$H$1000,"&gt;"&amp;H55)+1))</f>
        <v>LB|2</v>
      </c>
    </row>
    <row r="56" customFormat="false" ht="15" hidden="false" customHeight="false" outlineLevel="0" collapsed="false">
      <c r="A56" s="2" t="n">
        <f aca="false">IF(F56="","",COUNTIF($F$2:$F$1000,"&gt;"&amp;F56)+1)</f>
        <v>53</v>
      </c>
      <c r="B56" s="3" t="s">
        <v>74</v>
      </c>
      <c r="C56" s="4" t="s">
        <v>51</v>
      </c>
      <c r="D56" s="5" t="str">
        <f aca="false">IF(C56="","",IFERROR(INDEX(Summary!$B$2:$B$14,MATCH(C56,Summary!$A$2:$A$14,0)),"?"))</f>
        <v>Defensive Midfielder</v>
      </c>
      <c r="E56" s="5" t="str">
        <f aca="false">IF(C56="","",IFERROR(INDEX(Summary!$C$2:$C$14,MATCH(C56,Summary!$A$2:$A$14,0)),"?"))</f>
        <v>Centrocampo</v>
      </c>
      <c r="F56" s="6" t="n">
        <v>94</v>
      </c>
      <c r="H56" s="7" t="n">
        <f aca="false">IF(OR(B56="",F56=""),"",F56-ROW()/100000)</f>
        <v>93.99944</v>
      </c>
      <c r="I56" s="0" t="str">
        <f aca="false">IF(H56="","",C56&amp;"|"&amp;(COUNTIFS($C$2:$C$1000,C56,$H$2:$H$1000,"&gt;"&amp;H56)+1))</f>
        <v>DMF|4</v>
      </c>
    </row>
    <row r="57" customFormat="false" ht="15" hidden="false" customHeight="false" outlineLevel="0" collapsed="false">
      <c r="A57" s="2" t="n">
        <f aca="false">IF(F57="","",COUNTIF($F$2:$F$1000,"&gt;"&amp;F57)+1)</f>
        <v>53</v>
      </c>
      <c r="B57" s="3" t="s">
        <v>75</v>
      </c>
      <c r="C57" s="4" t="s">
        <v>51</v>
      </c>
      <c r="D57" s="5" t="str">
        <f aca="false">IF(C57="","",IFERROR(INDEX(Summary!$B$2:$B$14,MATCH(C57,Summary!$A$2:$A$14,0)),"?"))</f>
        <v>Defensive Midfielder</v>
      </c>
      <c r="E57" s="5" t="str">
        <f aca="false">IF(C57="","",IFERROR(INDEX(Summary!$C$2:$C$14,MATCH(C57,Summary!$A$2:$A$14,0)),"?"))</f>
        <v>Centrocampo</v>
      </c>
      <c r="F57" s="6" t="n">
        <v>94</v>
      </c>
      <c r="H57" s="7" t="n">
        <f aca="false">IF(OR(B57="",F57=""),"",F57-ROW()/100000)</f>
        <v>93.99943</v>
      </c>
      <c r="I57" s="0" t="str">
        <f aca="false">IF(H57="","",C57&amp;"|"&amp;(COUNTIFS($C$2:$C$1000,C57,$H$2:$H$1000,"&gt;"&amp;H57)+1))</f>
        <v>DMF|5</v>
      </c>
    </row>
    <row r="58" customFormat="false" ht="15" hidden="false" customHeight="false" outlineLevel="0" collapsed="false">
      <c r="A58" s="2" t="n">
        <f aca="false">IF(F58="","",COUNTIF($F$2:$F$1000,"&gt;"&amp;F58)+1)</f>
        <v>53</v>
      </c>
      <c r="B58" s="3" t="s">
        <v>76</v>
      </c>
      <c r="C58" s="4" t="s">
        <v>19</v>
      </c>
      <c r="D58" s="5" t="str">
        <f aca="false">IF(C58="","",IFERROR(INDEX(Summary!$B$2:$B$14,MATCH(C58,Summary!$A$2:$A$14,0)),"?"))</f>
        <v>Second Striker</v>
      </c>
      <c r="E58" s="5" t="str">
        <f aca="false">IF(C58="","",IFERROR(INDEX(Summary!$C$2:$C$14,MATCH(C58,Summary!$A$2:$A$14,0)),"?"))</f>
        <v>Attacco</v>
      </c>
      <c r="F58" s="6" t="n">
        <v>94</v>
      </c>
      <c r="H58" s="7" t="n">
        <f aca="false">IF(OR(B58="",F58=""),"",F58-ROW()/100000)</f>
        <v>93.99942</v>
      </c>
      <c r="I58" s="0" t="str">
        <f aca="false">IF(H58="","",C58&amp;"|"&amp;(COUNTIFS($C$2:$C$1000,C58,$H$2:$H$1000,"&gt;"&amp;H58)+1))</f>
        <v>SS|2</v>
      </c>
    </row>
    <row r="59" customFormat="false" ht="15" hidden="false" customHeight="false" outlineLevel="0" collapsed="false">
      <c r="A59" s="2" t="n">
        <f aca="false">IF(F59="","",COUNTIF($F$2:$F$1000,"&gt;"&amp;F59)+1)</f>
        <v>53</v>
      </c>
      <c r="B59" s="3" t="s">
        <v>77</v>
      </c>
      <c r="C59" s="4" t="s">
        <v>21</v>
      </c>
      <c r="D59" s="5" t="str">
        <f aca="false">IF(C59="","",IFERROR(INDEX(Summary!$B$2:$B$14,MATCH(C59,Summary!$A$2:$A$14,0)),"?"))</f>
        <v>Center Forward</v>
      </c>
      <c r="E59" s="5" t="str">
        <f aca="false">IF(C59="","",IFERROR(INDEX(Summary!$C$2:$C$14,MATCH(C59,Summary!$A$2:$A$14,0)),"?"))</f>
        <v>Attacco</v>
      </c>
      <c r="F59" s="6" t="n">
        <v>94</v>
      </c>
      <c r="H59" s="7" t="n">
        <f aca="false">IF(OR(B59="",F59=""),"",F59-ROW()/100000)</f>
        <v>93.99941</v>
      </c>
      <c r="I59" s="0" t="str">
        <f aca="false">IF(H59="","",C59&amp;"|"&amp;(COUNTIFS($C$2:$C$1000,C59,$H$2:$H$1000,"&gt;"&amp;H59)+1))</f>
        <v>CF|18</v>
      </c>
    </row>
    <row r="60" customFormat="false" ht="15" hidden="false" customHeight="false" outlineLevel="0" collapsed="false">
      <c r="A60" s="2" t="n">
        <f aca="false">IF(F60="","",COUNTIF($F$2:$F$1000,"&gt;"&amp;F60)+1)</f>
        <v>53</v>
      </c>
      <c r="B60" s="3" t="s">
        <v>78</v>
      </c>
      <c r="C60" s="4" t="s">
        <v>21</v>
      </c>
      <c r="D60" s="5" t="str">
        <f aca="false">IF(C60="","",IFERROR(INDEX(Summary!$B$2:$B$14,MATCH(C60,Summary!$A$2:$A$14,0)),"?"))</f>
        <v>Center Forward</v>
      </c>
      <c r="E60" s="5" t="str">
        <f aca="false">IF(C60="","",IFERROR(INDEX(Summary!$C$2:$C$14,MATCH(C60,Summary!$A$2:$A$14,0)),"?"))</f>
        <v>Attacco</v>
      </c>
      <c r="F60" s="6" t="n">
        <v>94</v>
      </c>
      <c r="H60" s="7" t="n">
        <f aca="false">IF(OR(B60="",F60=""),"",F60-ROW()/100000)</f>
        <v>93.9994</v>
      </c>
      <c r="I60" s="0" t="str">
        <f aca="false">IF(H60="","",C60&amp;"|"&amp;(COUNTIFS($C$2:$C$1000,C60,$H$2:$H$1000,"&gt;"&amp;H60)+1))</f>
        <v>CF|19</v>
      </c>
    </row>
    <row r="61" customFormat="false" ht="15" hidden="false" customHeight="false" outlineLevel="0" collapsed="false">
      <c r="A61" s="2" t="n">
        <f aca="false">IF(F61="","",COUNTIF($F$2:$F$1000,"&gt;"&amp;F61)+1)</f>
        <v>60</v>
      </c>
      <c r="B61" s="3" t="s">
        <v>79</v>
      </c>
      <c r="C61" s="4" t="s">
        <v>38</v>
      </c>
      <c r="D61" s="5" t="str">
        <f aca="false">IF(C61="","",IFERROR(INDEX(Summary!$B$2:$B$14,MATCH(C61,Summary!$A$2:$A$14,0)),"?"))</f>
        <v>Center Back</v>
      </c>
      <c r="E61" s="5" t="str">
        <f aca="false">IF(C61="","",IFERROR(INDEX(Summary!$C$2:$C$14,MATCH(C61,Summary!$A$2:$A$14,0)),"?"))</f>
        <v>Difensori</v>
      </c>
      <c r="F61" s="6" t="n">
        <v>93</v>
      </c>
      <c r="H61" s="7" t="n">
        <f aca="false">IF(OR(B61="",F61=""),"",F61-ROW()/100000)</f>
        <v>92.99939</v>
      </c>
      <c r="I61" s="0" t="str">
        <f aca="false">IF(H61="","",C61&amp;"|"&amp;(COUNTIFS($C$2:$C$1000,C61,$H$2:$H$1000,"&gt;"&amp;H61)+1))</f>
        <v>CB|6</v>
      </c>
    </row>
    <row r="62" customFormat="false" ht="15" hidden="false" customHeight="false" outlineLevel="0" collapsed="false">
      <c r="A62" s="2" t="n">
        <f aca="false">IF(F62="","",COUNTIF($F$2:$F$1000,"&gt;"&amp;F62)+1)</f>
        <v>60</v>
      </c>
      <c r="B62" s="3" t="s">
        <v>80</v>
      </c>
      <c r="C62" s="4" t="s">
        <v>38</v>
      </c>
      <c r="D62" s="5" t="str">
        <f aca="false">IF(C62="","",IFERROR(INDEX(Summary!$B$2:$B$14,MATCH(C62,Summary!$A$2:$A$14,0)),"?"))</f>
        <v>Center Back</v>
      </c>
      <c r="E62" s="5" t="str">
        <f aca="false">IF(C62="","",IFERROR(INDEX(Summary!$C$2:$C$14,MATCH(C62,Summary!$A$2:$A$14,0)),"?"))</f>
        <v>Difensori</v>
      </c>
      <c r="F62" s="6" t="n">
        <v>93</v>
      </c>
      <c r="H62" s="7" t="n">
        <f aca="false">IF(OR(B62="",F62=""),"",F62-ROW()/100000)</f>
        <v>92.99938</v>
      </c>
      <c r="I62" s="0" t="str">
        <f aca="false">IF(H62="","",C62&amp;"|"&amp;(COUNTIFS($C$2:$C$1000,C62,$H$2:$H$1000,"&gt;"&amp;H62)+1))</f>
        <v>CB|7</v>
      </c>
    </row>
    <row r="63" customFormat="false" ht="15" hidden="false" customHeight="false" outlineLevel="0" collapsed="false">
      <c r="A63" s="2" t="n">
        <f aca="false">IF(F63="","",COUNTIF($F$2:$F$1000,"&gt;"&amp;F63)+1)</f>
        <v>60</v>
      </c>
      <c r="B63" s="3" t="s">
        <v>81</v>
      </c>
      <c r="C63" s="4" t="s">
        <v>51</v>
      </c>
      <c r="D63" s="5" t="str">
        <f aca="false">IF(C63="","",IFERROR(INDEX(Summary!$B$2:$B$14,MATCH(C63,Summary!$A$2:$A$14,0)),"?"))</f>
        <v>Defensive Midfielder</v>
      </c>
      <c r="E63" s="5" t="str">
        <f aca="false">IF(C63="","",IFERROR(INDEX(Summary!$C$2:$C$14,MATCH(C63,Summary!$A$2:$A$14,0)),"?"))</f>
        <v>Centrocampo</v>
      </c>
      <c r="F63" s="6" t="n">
        <v>93</v>
      </c>
      <c r="H63" s="7" t="n">
        <f aca="false">IF(OR(B63="",F63=""),"",F63-ROW()/100000)</f>
        <v>92.99937</v>
      </c>
      <c r="I63" s="0" t="str">
        <f aca="false">IF(H63="","",C63&amp;"|"&amp;(COUNTIFS($C$2:$C$1000,C63,$H$2:$H$1000,"&gt;"&amp;H63)+1))</f>
        <v>DMF|6</v>
      </c>
    </row>
    <row r="64" customFormat="false" ht="15" hidden="false" customHeight="false" outlineLevel="0" collapsed="false">
      <c r="A64" s="2" t="n">
        <f aca="false">IF(F64="","",COUNTIF($F$2:$F$1000,"&gt;"&amp;F64)+1)</f>
        <v>60</v>
      </c>
      <c r="B64" s="3" t="s">
        <v>82</v>
      </c>
      <c r="C64" s="4" t="s">
        <v>42</v>
      </c>
      <c r="D64" s="5" t="str">
        <f aca="false">IF(C64="","",IFERROR(INDEX(Summary!$B$2:$B$14,MATCH(C64,Summary!$A$2:$A$14,0)),"?"))</f>
        <v>Left Midfielder</v>
      </c>
      <c r="E64" s="5" t="str">
        <f aca="false">IF(C64="","",IFERROR(INDEX(Summary!$C$2:$C$14,MATCH(C64,Summary!$A$2:$A$14,0)),"?"))</f>
        <v>Centrocampo</v>
      </c>
      <c r="F64" s="6" t="n">
        <v>93</v>
      </c>
      <c r="H64" s="7" t="n">
        <f aca="false">IF(OR(B64="",F64=""),"",F64-ROW()/100000)</f>
        <v>92.99936</v>
      </c>
      <c r="I64" s="0" t="str">
        <f aca="false">IF(H64="","",C64&amp;"|"&amp;(COUNTIFS($C$2:$C$1000,C64,$H$2:$H$1000,"&gt;"&amp;H64)+1))</f>
        <v>LMF|4</v>
      </c>
    </row>
    <row r="65" customFormat="false" ht="15" hidden="false" customHeight="false" outlineLevel="0" collapsed="false">
      <c r="A65" s="2" t="n">
        <f aca="false">IF(F65="","",COUNTIF($F$2:$F$1000,"&gt;"&amp;F65)+1)</f>
        <v>60</v>
      </c>
      <c r="B65" s="3" t="s">
        <v>83</v>
      </c>
      <c r="C65" s="4" t="s">
        <v>42</v>
      </c>
      <c r="D65" s="5" t="str">
        <f aca="false">IF(C65="","",IFERROR(INDEX(Summary!$B$2:$B$14,MATCH(C65,Summary!$A$2:$A$14,0)),"?"))</f>
        <v>Left Midfielder</v>
      </c>
      <c r="E65" s="5" t="str">
        <f aca="false">IF(C65="","",IFERROR(INDEX(Summary!$C$2:$C$14,MATCH(C65,Summary!$A$2:$A$14,0)),"?"))</f>
        <v>Centrocampo</v>
      </c>
      <c r="F65" s="6" t="n">
        <v>93</v>
      </c>
      <c r="H65" s="7" t="n">
        <f aca="false">IF(OR(B65="",F65=""),"",F65-ROW()/100000)</f>
        <v>92.99935</v>
      </c>
      <c r="I65" s="0" t="str">
        <f aca="false">IF(H65="","",C65&amp;"|"&amp;(COUNTIFS($C$2:$C$1000,C65,$H$2:$H$1000,"&gt;"&amp;H65)+1))</f>
        <v>LMF|5</v>
      </c>
    </row>
    <row r="66" customFormat="false" ht="15" hidden="false" customHeight="false" outlineLevel="0" collapsed="false">
      <c r="A66" s="2" t="n">
        <f aca="false">IF(F66="","",COUNTIF($F$2:$F$1000,"&gt;"&amp;F66)+1)</f>
        <v>60</v>
      </c>
      <c r="B66" s="3" t="s">
        <v>84</v>
      </c>
      <c r="C66" s="4" t="s">
        <v>31</v>
      </c>
      <c r="D66" s="5" t="str">
        <f aca="false">IF(C66="","",IFERROR(INDEX(Summary!$B$2:$B$14,MATCH(C66,Summary!$A$2:$A$14,0)),"?"))</f>
        <v>Attacking Midfielder</v>
      </c>
      <c r="E66" s="5" t="str">
        <f aca="false">IF(C66="","",IFERROR(INDEX(Summary!$C$2:$C$14,MATCH(C66,Summary!$A$2:$A$14,0)),"?"))</f>
        <v>Centrocampo</v>
      </c>
      <c r="F66" s="6" t="n">
        <v>93</v>
      </c>
      <c r="H66" s="7" t="n">
        <f aca="false">IF(OR(B66="",F66=""),"",F66-ROW()/100000)</f>
        <v>92.99934</v>
      </c>
      <c r="I66" s="0" t="str">
        <f aca="false">IF(H66="","",C66&amp;"|"&amp;(COUNTIFS($C$2:$C$1000,C66,$H$2:$H$1000,"&gt;"&amp;H66)+1))</f>
        <v>AMF|4</v>
      </c>
    </row>
    <row r="67" customFormat="false" ht="15" hidden="false" customHeight="false" outlineLevel="0" collapsed="false">
      <c r="A67" s="2" t="n">
        <f aca="false">IF(F67="","",COUNTIF($F$2:$F$1000,"&gt;"&amp;F67)+1)</f>
        <v>60</v>
      </c>
      <c r="B67" s="3" t="s">
        <v>85</v>
      </c>
      <c r="C67" s="4" t="s">
        <v>31</v>
      </c>
      <c r="D67" s="5" t="str">
        <f aca="false">IF(C67="","",IFERROR(INDEX(Summary!$B$2:$B$14,MATCH(C67,Summary!$A$2:$A$14,0)),"?"))</f>
        <v>Attacking Midfielder</v>
      </c>
      <c r="E67" s="5" t="str">
        <f aca="false">IF(C67="","",IFERROR(INDEX(Summary!$C$2:$C$14,MATCH(C67,Summary!$A$2:$A$14,0)),"?"))</f>
        <v>Centrocampo</v>
      </c>
      <c r="F67" s="6" t="n">
        <v>93</v>
      </c>
      <c r="H67" s="7" t="n">
        <f aca="false">IF(OR(B67="",F67=""),"",F67-ROW()/100000)</f>
        <v>92.99933</v>
      </c>
      <c r="I67" s="0" t="str">
        <f aca="false">IF(H67="","",C67&amp;"|"&amp;(COUNTIFS($C$2:$C$1000,C67,$H$2:$H$1000,"&gt;"&amp;H67)+1))</f>
        <v>AMF|5</v>
      </c>
    </row>
    <row r="68" customFormat="false" ht="15" hidden="false" customHeight="false" outlineLevel="0" collapsed="false">
      <c r="A68" s="2" t="n">
        <f aca="false">IF(F68="","",COUNTIF($F$2:$F$1000,"&gt;"&amp;F68)+1)</f>
        <v>60</v>
      </c>
      <c r="B68" s="3" t="s">
        <v>86</v>
      </c>
      <c r="C68" s="4" t="s">
        <v>19</v>
      </c>
      <c r="D68" s="5" t="str">
        <f aca="false">IF(C68="","",IFERROR(INDEX(Summary!$B$2:$B$14,MATCH(C68,Summary!$A$2:$A$14,0)),"?"))</f>
        <v>Second Striker</v>
      </c>
      <c r="E68" s="5" t="str">
        <f aca="false">IF(C68="","",IFERROR(INDEX(Summary!$C$2:$C$14,MATCH(C68,Summary!$A$2:$A$14,0)),"?"))</f>
        <v>Attacco</v>
      </c>
      <c r="F68" s="6" t="n">
        <v>93</v>
      </c>
      <c r="H68" s="7" t="n">
        <f aca="false">IF(OR(B68="",F68=""),"",F68-ROW()/100000)</f>
        <v>92.99932</v>
      </c>
      <c r="I68" s="0" t="str">
        <f aca="false">IF(H68="","",C68&amp;"|"&amp;(COUNTIFS($C$2:$C$1000,C68,$H$2:$H$1000,"&gt;"&amp;H68)+1))</f>
        <v>SS|3</v>
      </c>
    </row>
    <row r="69" customFormat="false" ht="15" hidden="false" customHeight="false" outlineLevel="0" collapsed="false">
      <c r="A69" s="2" t="n">
        <f aca="false">IF(F69="","",COUNTIF($F$2:$F$1000,"&gt;"&amp;F69)+1)</f>
        <v>60</v>
      </c>
      <c r="B69" s="3" t="s">
        <v>87</v>
      </c>
      <c r="C69" s="4" t="s">
        <v>21</v>
      </c>
      <c r="D69" s="5" t="str">
        <f aca="false">IF(C69="","",IFERROR(INDEX(Summary!$B$2:$B$14,MATCH(C69,Summary!$A$2:$A$14,0)),"?"))</f>
        <v>Center Forward</v>
      </c>
      <c r="E69" s="5" t="str">
        <f aca="false">IF(C69="","",IFERROR(INDEX(Summary!$C$2:$C$14,MATCH(C69,Summary!$A$2:$A$14,0)),"?"))</f>
        <v>Attacco</v>
      </c>
      <c r="F69" s="6" t="n">
        <v>93</v>
      </c>
      <c r="H69" s="7" t="n">
        <f aca="false">IF(OR(B69="",F69=""),"",F69-ROW()/100000)</f>
        <v>92.99931</v>
      </c>
      <c r="I69" s="0" t="str">
        <f aca="false">IF(H69="","",C69&amp;"|"&amp;(COUNTIFS($C$2:$C$1000,C69,$H$2:$H$1000,"&gt;"&amp;H69)+1))</f>
        <v>CF|20</v>
      </c>
    </row>
    <row r="70" customFormat="false" ht="15" hidden="false" customHeight="false" outlineLevel="0" collapsed="false">
      <c r="A70" s="2" t="n">
        <f aca="false">IF(F70="","",COUNTIF($F$2:$F$1000,"&gt;"&amp;F70)+1)</f>
        <v>69</v>
      </c>
      <c r="B70" s="3" t="s">
        <v>88</v>
      </c>
      <c r="C70" s="4" t="s">
        <v>9</v>
      </c>
      <c r="D70" s="5" t="str">
        <f aca="false">IF(C70="","",IFERROR(INDEX(Summary!$B$2:$B$14,MATCH(C70,Summary!$A$2:$A$14,0)),"?"))</f>
        <v>Goalkeeper</v>
      </c>
      <c r="E70" s="5" t="str">
        <f aca="false">IF(C70="","",IFERROR(INDEX(Summary!$C$2:$C$14,MATCH(C70,Summary!$A$2:$A$14,0)),"?"))</f>
        <v>Portieri</v>
      </c>
      <c r="F70" s="6" t="n">
        <v>92</v>
      </c>
      <c r="H70" s="7" t="n">
        <f aca="false">IF(OR(B70="",F70=""),"",F70-ROW()/100000)</f>
        <v>91.9993</v>
      </c>
      <c r="I70" s="0" t="str">
        <f aca="false">IF(H70="","",C70&amp;"|"&amp;(COUNTIFS($C$2:$C$1000,C70,$H$2:$H$1000,"&gt;"&amp;H70)+1))</f>
        <v>GK|7</v>
      </c>
    </row>
    <row r="71" customFormat="false" ht="15" hidden="false" customHeight="false" outlineLevel="0" collapsed="false">
      <c r="A71" s="2" t="n">
        <f aca="false">IF(F71="","",COUNTIF($F$2:$F$1000,"&gt;"&amp;F71)+1)</f>
        <v>69</v>
      </c>
      <c r="B71" s="3" t="s">
        <v>89</v>
      </c>
      <c r="C71" s="4" t="s">
        <v>38</v>
      </c>
      <c r="D71" s="5" t="str">
        <f aca="false">IF(C71="","",IFERROR(INDEX(Summary!$B$2:$B$14,MATCH(C71,Summary!$A$2:$A$14,0)),"?"))</f>
        <v>Center Back</v>
      </c>
      <c r="E71" s="5" t="str">
        <f aca="false">IF(C71="","",IFERROR(INDEX(Summary!$C$2:$C$14,MATCH(C71,Summary!$A$2:$A$14,0)),"?"))</f>
        <v>Difensori</v>
      </c>
      <c r="F71" s="6" t="n">
        <v>92</v>
      </c>
      <c r="H71" s="7" t="n">
        <f aca="false">IF(OR(B71="",F71=""),"",F71-ROW()/100000)</f>
        <v>91.99929</v>
      </c>
      <c r="I71" s="0" t="str">
        <f aca="false">IF(H71="","",C71&amp;"|"&amp;(COUNTIFS($C$2:$C$1000,C71,$H$2:$H$1000,"&gt;"&amp;H71)+1))</f>
        <v>CB|8</v>
      </c>
    </row>
    <row r="72" customFormat="false" ht="15" hidden="false" customHeight="false" outlineLevel="0" collapsed="false">
      <c r="A72" s="2" t="n">
        <f aca="false">IF(F72="","",COUNTIF($F$2:$F$1000,"&gt;"&amp;F72)+1)</f>
        <v>69</v>
      </c>
      <c r="B72" s="3" t="s">
        <v>90</v>
      </c>
      <c r="C72" s="4" t="s">
        <v>23</v>
      </c>
      <c r="D72" s="5" t="str">
        <f aca="false">IF(C72="","",IFERROR(INDEX(Summary!$B$2:$B$14,MATCH(C72,Summary!$A$2:$A$14,0)),"?"))</f>
        <v>Left Back</v>
      </c>
      <c r="E72" s="5" t="str">
        <f aca="false">IF(C72="","",IFERROR(INDEX(Summary!$C$2:$C$14,MATCH(C72,Summary!$A$2:$A$14,0)),"?"))</f>
        <v>Difensori</v>
      </c>
      <c r="F72" s="6" t="n">
        <v>92</v>
      </c>
      <c r="H72" s="7" t="n">
        <f aca="false">IF(OR(B72="",F72=""),"",F72-ROW()/100000)</f>
        <v>91.99928</v>
      </c>
      <c r="I72" s="0" t="str">
        <f aca="false">IF(H72="","",C72&amp;"|"&amp;(COUNTIFS($C$2:$C$1000,C72,$H$2:$H$1000,"&gt;"&amp;H72)+1))</f>
        <v>LB|3</v>
      </c>
    </row>
    <row r="73" customFormat="false" ht="15" hidden="false" customHeight="false" outlineLevel="0" collapsed="false">
      <c r="A73" s="2" t="n">
        <f aca="false">IF(F73="","",COUNTIF($F$2:$F$1000,"&gt;"&amp;F73)+1)</f>
        <v>69</v>
      </c>
      <c r="B73" s="3" t="s">
        <v>91</v>
      </c>
      <c r="C73" s="4" t="s">
        <v>61</v>
      </c>
      <c r="D73" s="5" t="str">
        <f aca="false">IF(C73="","",IFERROR(INDEX(Summary!$B$2:$B$14,MATCH(C73,Summary!$A$2:$A$14,0)),"?"))</f>
        <v>Right Back</v>
      </c>
      <c r="E73" s="5" t="str">
        <f aca="false">IF(C73="","",IFERROR(INDEX(Summary!$C$2:$C$14,MATCH(C73,Summary!$A$2:$A$14,0)),"?"))</f>
        <v>Difensori</v>
      </c>
      <c r="F73" s="6" t="n">
        <v>92</v>
      </c>
      <c r="H73" s="7" t="n">
        <f aca="false">IF(OR(B73="",F73=""),"",F73-ROW()/100000)</f>
        <v>91.99927</v>
      </c>
      <c r="I73" s="0" t="str">
        <f aca="false">IF(H73="","",C73&amp;"|"&amp;(COUNTIFS($C$2:$C$1000,C73,$H$2:$H$1000,"&gt;"&amp;H73)+1))</f>
        <v>RB|4</v>
      </c>
    </row>
    <row r="74" customFormat="false" ht="15" hidden="false" customHeight="false" outlineLevel="0" collapsed="false">
      <c r="A74" s="2" t="n">
        <f aca="false">IF(F74="","",COUNTIF($F$2:$F$1000,"&gt;"&amp;F74)+1)</f>
        <v>69</v>
      </c>
      <c r="B74" s="3" t="s">
        <v>92</v>
      </c>
      <c r="C74" s="4" t="s">
        <v>51</v>
      </c>
      <c r="D74" s="5" t="str">
        <f aca="false">IF(C74="","",IFERROR(INDEX(Summary!$B$2:$B$14,MATCH(C74,Summary!$A$2:$A$14,0)),"?"))</f>
        <v>Defensive Midfielder</v>
      </c>
      <c r="E74" s="5" t="str">
        <f aca="false">IF(C74="","",IFERROR(INDEX(Summary!$C$2:$C$14,MATCH(C74,Summary!$A$2:$A$14,0)),"?"))</f>
        <v>Centrocampo</v>
      </c>
      <c r="F74" s="6" t="n">
        <v>92</v>
      </c>
      <c r="H74" s="7" t="n">
        <f aca="false">IF(OR(B74="",F74=""),"",F74-ROW()/100000)</f>
        <v>91.99926</v>
      </c>
      <c r="I74" s="0" t="str">
        <f aca="false">IF(H74="","",C74&amp;"|"&amp;(COUNTIFS($C$2:$C$1000,C74,$H$2:$H$1000,"&gt;"&amp;H74)+1))</f>
        <v>DMF|7</v>
      </c>
    </row>
    <row r="75" customFormat="false" ht="15" hidden="false" customHeight="false" outlineLevel="0" collapsed="false">
      <c r="A75" s="2" t="n">
        <f aca="false">IF(F75="","",COUNTIF($F$2:$F$1000,"&gt;"&amp;F75)+1)</f>
        <v>69</v>
      </c>
      <c r="B75" s="3" t="s">
        <v>93</v>
      </c>
      <c r="C75" s="4" t="s">
        <v>51</v>
      </c>
      <c r="D75" s="5" t="str">
        <f aca="false">IF(C75="","",IFERROR(INDEX(Summary!$B$2:$B$14,MATCH(C75,Summary!$A$2:$A$14,0)),"?"))</f>
        <v>Defensive Midfielder</v>
      </c>
      <c r="E75" s="5" t="str">
        <f aca="false">IF(C75="","",IFERROR(INDEX(Summary!$C$2:$C$14,MATCH(C75,Summary!$A$2:$A$14,0)),"?"))</f>
        <v>Centrocampo</v>
      </c>
      <c r="F75" s="6" t="n">
        <v>92</v>
      </c>
      <c r="H75" s="7" t="n">
        <f aca="false">IF(OR(B75="",F75=""),"",F75-ROW()/100000)</f>
        <v>91.99925</v>
      </c>
      <c r="I75" s="0" t="str">
        <f aca="false">IF(H75="","",C75&amp;"|"&amp;(COUNTIFS($C$2:$C$1000,C75,$H$2:$H$1000,"&gt;"&amp;H75)+1))</f>
        <v>DMF|8</v>
      </c>
    </row>
    <row r="76" customFormat="false" ht="15" hidden="false" customHeight="false" outlineLevel="0" collapsed="false">
      <c r="A76" s="2" t="n">
        <f aca="false">IF(F76="","",COUNTIF($F$2:$F$1000,"&gt;"&amp;F76)+1)</f>
        <v>69</v>
      </c>
      <c r="B76" s="3" t="s">
        <v>94</v>
      </c>
      <c r="C76" s="4" t="s">
        <v>11</v>
      </c>
      <c r="D76" s="5" t="str">
        <f aca="false">IF(C76="","",IFERROR(INDEX(Summary!$B$2:$B$14,MATCH(C76,Summary!$A$2:$A$14,0)),"?"))</f>
        <v>Central Midfielder</v>
      </c>
      <c r="E76" s="5" t="str">
        <f aca="false">IF(C76="","",IFERROR(INDEX(Summary!$C$2:$C$14,MATCH(C76,Summary!$A$2:$A$14,0)),"?"))</f>
        <v>Centrocampo</v>
      </c>
      <c r="F76" s="6" t="n">
        <v>92</v>
      </c>
      <c r="H76" s="7" t="n">
        <f aca="false">IF(OR(B76="",F76=""),"",F76-ROW()/100000)</f>
        <v>91.99924</v>
      </c>
      <c r="I76" s="0" t="str">
        <f aca="false">IF(H76="","",C76&amp;"|"&amp;(COUNTIFS($C$2:$C$1000,C76,$H$2:$H$1000,"&gt;"&amp;H76)+1))</f>
        <v>CMF|6</v>
      </c>
    </row>
    <row r="77" customFormat="false" ht="15" hidden="false" customHeight="false" outlineLevel="0" collapsed="false">
      <c r="A77" s="2" t="n">
        <f aca="false">IF(F77="","",COUNTIF($F$2:$F$1000,"&gt;"&amp;F77)+1)</f>
        <v>69</v>
      </c>
      <c r="B77" s="3" t="s">
        <v>95</v>
      </c>
      <c r="C77" s="4" t="s">
        <v>11</v>
      </c>
      <c r="D77" s="5" t="str">
        <f aca="false">IF(C77="","",IFERROR(INDEX(Summary!$B$2:$B$14,MATCH(C77,Summary!$A$2:$A$14,0)),"?"))</f>
        <v>Central Midfielder</v>
      </c>
      <c r="E77" s="5" t="str">
        <f aca="false">IF(C77="","",IFERROR(INDEX(Summary!$C$2:$C$14,MATCH(C77,Summary!$A$2:$A$14,0)),"?"))</f>
        <v>Centrocampo</v>
      </c>
      <c r="F77" s="6" t="n">
        <v>92</v>
      </c>
      <c r="H77" s="7" t="n">
        <f aca="false">IF(OR(B77="",F77=""),"",F77-ROW()/100000)</f>
        <v>91.99923</v>
      </c>
      <c r="I77" s="0" t="str">
        <f aca="false">IF(H77="","",C77&amp;"|"&amp;(COUNTIFS($C$2:$C$1000,C77,$H$2:$H$1000,"&gt;"&amp;H77)+1))</f>
        <v>CMF|7</v>
      </c>
    </row>
    <row r="78" customFormat="false" ht="15" hidden="false" customHeight="false" outlineLevel="0" collapsed="false">
      <c r="A78" s="2" t="n">
        <f aca="false">IF(F78="","",COUNTIF($F$2:$F$1000,"&gt;"&amp;F78)+1)</f>
        <v>69</v>
      </c>
      <c r="B78" s="3" t="s">
        <v>96</v>
      </c>
      <c r="C78" s="4" t="s">
        <v>31</v>
      </c>
      <c r="D78" s="5" t="str">
        <f aca="false">IF(C78="","",IFERROR(INDEX(Summary!$B$2:$B$14,MATCH(C78,Summary!$A$2:$A$14,0)),"?"))</f>
        <v>Attacking Midfielder</v>
      </c>
      <c r="E78" s="5" t="str">
        <f aca="false">IF(C78="","",IFERROR(INDEX(Summary!$C$2:$C$14,MATCH(C78,Summary!$A$2:$A$14,0)),"?"))</f>
        <v>Centrocampo</v>
      </c>
      <c r="F78" s="6" t="n">
        <v>92</v>
      </c>
      <c r="H78" s="7" t="n">
        <f aca="false">IF(OR(B78="",F78=""),"",F78-ROW()/100000)</f>
        <v>91.99922</v>
      </c>
      <c r="I78" s="0" t="str">
        <f aca="false">IF(H78="","",C78&amp;"|"&amp;(COUNTIFS($C$2:$C$1000,C78,$H$2:$H$1000,"&gt;"&amp;H78)+1))</f>
        <v>AMF|6</v>
      </c>
    </row>
    <row r="79" customFormat="false" ht="15" hidden="false" customHeight="false" outlineLevel="0" collapsed="false">
      <c r="A79" s="2" t="n">
        <f aca="false">IF(F79="","",COUNTIF($F$2:$F$1000,"&gt;"&amp;F79)+1)</f>
        <v>69</v>
      </c>
      <c r="B79" s="3" t="s">
        <v>97</v>
      </c>
      <c r="C79" s="4" t="s">
        <v>21</v>
      </c>
      <c r="D79" s="5" t="str">
        <f aca="false">IF(C79="","",IFERROR(INDEX(Summary!$B$2:$B$14,MATCH(C79,Summary!$A$2:$A$14,0)),"?"))</f>
        <v>Center Forward</v>
      </c>
      <c r="E79" s="5" t="str">
        <f aca="false">IF(C79="","",IFERROR(INDEX(Summary!$C$2:$C$14,MATCH(C79,Summary!$A$2:$A$14,0)),"?"))</f>
        <v>Attacco</v>
      </c>
      <c r="F79" s="6" t="n">
        <v>92</v>
      </c>
      <c r="H79" s="7" t="n">
        <f aca="false">IF(OR(B79="",F79=""),"",F79-ROW()/100000)</f>
        <v>91.99921</v>
      </c>
      <c r="I79" s="0" t="str">
        <f aca="false">IF(H79="","",C79&amp;"|"&amp;(COUNTIFS($C$2:$C$1000,C79,$H$2:$H$1000,"&gt;"&amp;H79)+1))</f>
        <v>CF|21</v>
      </c>
    </row>
    <row r="80" customFormat="false" ht="15" hidden="false" customHeight="false" outlineLevel="0" collapsed="false">
      <c r="A80" s="2" t="n">
        <f aca="false">IF(F80="","",COUNTIF($F$2:$F$1000,"&gt;"&amp;F80)+1)</f>
        <v>79</v>
      </c>
      <c r="B80" s="3" t="s">
        <v>98</v>
      </c>
      <c r="C80" s="4" t="s">
        <v>38</v>
      </c>
      <c r="D80" s="5" t="str">
        <f aca="false">IF(C80="","",IFERROR(INDEX(Summary!$B$2:$B$14,MATCH(C80,Summary!$A$2:$A$14,0)),"?"))</f>
        <v>Center Back</v>
      </c>
      <c r="E80" s="5" t="str">
        <f aca="false">IF(C80="","",IFERROR(INDEX(Summary!$C$2:$C$14,MATCH(C80,Summary!$A$2:$A$14,0)),"?"))</f>
        <v>Difensori</v>
      </c>
      <c r="F80" s="6" t="n">
        <v>91</v>
      </c>
      <c r="H80" s="7" t="n">
        <f aca="false">IF(OR(B80="",F80=""),"",F80-ROW()/100000)</f>
        <v>90.9992</v>
      </c>
      <c r="I80" s="0" t="str">
        <f aca="false">IF(H80="","",C80&amp;"|"&amp;(COUNTIFS($C$2:$C$1000,C80,$H$2:$H$1000,"&gt;"&amp;H80)+1))</f>
        <v>CB|9</v>
      </c>
    </row>
    <row r="81" customFormat="false" ht="15" hidden="false" customHeight="false" outlineLevel="0" collapsed="false">
      <c r="A81" s="2" t="n">
        <f aca="false">IF(F81="","",COUNTIF($F$2:$F$1000,"&gt;"&amp;F81)+1)</f>
        <v>79</v>
      </c>
      <c r="B81" s="3" t="s">
        <v>99</v>
      </c>
      <c r="C81" s="4" t="s">
        <v>38</v>
      </c>
      <c r="D81" s="5" t="str">
        <f aca="false">IF(C81="","",IFERROR(INDEX(Summary!$B$2:$B$14,MATCH(C81,Summary!$A$2:$A$14,0)),"?"))</f>
        <v>Center Back</v>
      </c>
      <c r="E81" s="5" t="str">
        <f aca="false">IF(C81="","",IFERROR(INDEX(Summary!$C$2:$C$14,MATCH(C81,Summary!$A$2:$A$14,0)),"?"))</f>
        <v>Difensori</v>
      </c>
      <c r="F81" s="6" t="n">
        <v>91</v>
      </c>
      <c r="H81" s="7" t="n">
        <f aca="false">IF(OR(B81="",F81=""),"",F81-ROW()/100000)</f>
        <v>90.99919</v>
      </c>
      <c r="I81" s="0" t="str">
        <f aca="false">IF(H81="","",C81&amp;"|"&amp;(COUNTIFS($C$2:$C$1000,C81,$H$2:$H$1000,"&gt;"&amp;H81)+1))</f>
        <v>CB|10</v>
      </c>
    </row>
    <row r="82" customFormat="false" ht="15" hidden="false" customHeight="false" outlineLevel="0" collapsed="false">
      <c r="A82" s="2" t="n">
        <f aca="false">IF(F82="","",COUNTIF($F$2:$F$1000,"&gt;"&amp;F82)+1)</f>
        <v>79</v>
      </c>
      <c r="B82" s="3" t="s">
        <v>100</v>
      </c>
      <c r="C82" s="4" t="s">
        <v>38</v>
      </c>
      <c r="D82" s="5" t="str">
        <f aca="false">IF(C82="","",IFERROR(INDEX(Summary!$B$2:$B$14,MATCH(C82,Summary!$A$2:$A$14,0)),"?"))</f>
        <v>Center Back</v>
      </c>
      <c r="E82" s="5" t="str">
        <f aca="false">IF(C82="","",IFERROR(INDEX(Summary!$C$2:$C$14,MATCH(C82,Summary!$A$2:$A$14,0)),"?"))</f>
        <v>Difensori</v>
      </c>
      <c r="F82" s="6" t="n">
        <v>91</v>
      </c>
      <c r="H82" s="7" t="n">
        <f aca="false">IF(OR(B82="",F82=""),"",F82-ROW()/100000)</f>
        <v>90.99918</v>
      </c>
      <c r="I82" s="0" t="str">
        <f aca="false">IF(H82="","",C82&amp;"|"&amp;(COUNTIFS($C$2:$C$1000,C82,$H$2:$H$1000,"&gt;"&amp;H82)+1))</f>
        <v>CB|11</v>
      </c>
    </row>
    <row r="83" customFormat="false" ht="15" hidden="false" customHeight="false" outlineLevel="0" collapsed="false">
      <c r="A83" s="2" t="n">
        <f aca="false">IF(F83="","",COUNTIF($F$2:$F$1000,"&gt;"&amp;F83)+1)</f>
        <v>79</v>
      </c>
      <c r="B83" s="3" t="s">
        <v>101</v>
      </c>
      <c r="C83" s="4" t="s">
        <v>38</v>
      </c>
      <c r="D83" s="5" t="str">
        <f aca="false">IF(C83="","",IFERROR(INDEX(Summary!$B$2:$B$14,MATCH(C83,Summary!$A$2:$A$14,0)),"?"))</f>
        <v>Center Back</v>
      </c>
      <c r="E83" s="5" t="str">
        <f aca="false">IF(C83="","",IFERROR(INDEX(Summary!$C$2:$C$14,MATCH(C83,Summary!$A$2:$A$14,0)),"?"))</f>
        <v>Difensori</v>
      </c>
      <c r="F83" s="6" t="n">
        <v>91</v>
      </c>
      <c r="H83" s="7" t="n">
        <f aca="false">IF(OR(B83="",F83=""),"",F83-ROW()/100000)</f>
        <v>90.99917</v>
      </c>
      <c r="I83" s="0" t="str">
        <f aca="false">IF(H83="","",C83&amp;"|"&amp;(COUNTIFS($C$2:$C$1000,C83,$H$2:$H$1000,"&gt;"&amp;H83)+1))</f>
        <v>CB|12</v>
      </c>
    </row>
    <row r="84" customFormat="false" ht="15" hidden="false" customHeight="false" outlineLevel="0" collapsed="false">
      <c r="A84" s="2" t="n">
        <f aca="false">IF(F84="","",COUNTIF($F$2:$F$1000,"&gt;"&amp;F84)+1)</f>
        <v>79</v>
      </c>
      <c r="B84" s="3" t="s">
        <v>102</v>
      </c>
      <c r="C84" s="4" t="s">
        <v>51</v>
      </c>
      <c r="D84" s="5" t="str">
        <f aca="false">IF(C84="","",IFERROR(INDEX(Summary!$B$2:$B$14,MATCH(C84,Summary!$A$2:$A$14,0)),"?"))</f>
        <v>Defensive Midfielder</v>
      </c>
      <c r="E84" s="5" t="str">
        <f aca="false">IF(C84="","",IFERROR(INDEX(Summary!$C$2:$C$14,MATCH(C84,Summary!$A$2:$A$14,0)),"?"))</f>
        <v>Centrocampo</v>
      </c>
      <c r="F84" s="6" t="n">
        <v>91</v>
      </c>
      <c r="H84" s="7" t="n">
        <f aca="false">IF(OR(B84="",F84=""),"",F84-ROW()/100000)</f>
        <v>90.99916</v>
      </c>
      <c r="I84" s="0" t="str">
        <f aca="false">IF(H84="","",C84&amp;"|"&amp;(COUNTIFS($C$2:$C$1000,C84,$H$2:$H$1000,"&gt;"&amp;H84)+1))</f>
        <v>DMF|9</v>
      </c>
    </row>
    <row r="85" customFormat="false" ht="15" hidden="false" customHeight="false" outlineLevel="0" collapsed="false">
      <c r="A85" s="2" t="n">
        <f aca="false">IF(F85="","",COUNTIF($F$2:$F$1000,"&gt;"&amp;F85)+1)</f>
        <v>79</v>
      </c>
      <c r="B85" s="3" t="s">
        <v>103</v>
      </c>
      <c r="C85" s="4" t="s">
        <v>51</v>
      </c>
      <c r="D85" s="5" t="str">
        <f aca="false">IF(C85="","",IFERROR(INDEX(Summary!$B$2:$B$14,MATCH(C85,Summary!$A$2:$A$14,0)),"?"))</f>
        <v>Defensive Midfielder</v>
      </c>
      <c r="E85" s="5" t="str">
        <f aca="false">IF(C85="","",IFERROR(INDEX(Summary!$C$2:$C$14,MATCH(C85,Summary!$A$2:$A$14,0)),"?"))</f>
        <v>Centrocampo</v>
      </c>
      <c r="F85" s="6" t="n">
        <v>91</v>
      </c>
      <c r="H85" s="7" t="n">
        <f aca="false">IF(OR(B85="",F85=""),"",F85-ROW()/100000)</f>
        <v>90.99915</v>
      </c>
      <c r="I85" s="0" t="str">
        <f aca="false">IF(H85="","",C85&amp;"|"&amp;(COUNTIFS($C$2:$C$1000,C85,$H$2:$H$1000,"&gt;"&amp;H85)+1))</f>
        <v>DMF|10</v>
      </c>
    </row>
    <row r="86" customFormat="false" ht="15" hidden="false" customHeight="false" outlineLevel="0" collapsed="false">
      <c r="A86" s="2" t="n">
        <f aca="false">IF(F86="","",COUNTIF($F$2:$F$1000,"&gt;"&amp;F86)+1)</f>
        <v>79</v>
      </c>
      <c r="B86" s="3" t="s">
        <v>104</v>
      </c>
      <c r="C86" s="4" t="s">
        <v>11</v>
      </c>
      <c r="D86" s="5" t="str">
        <f aca="false">IF(C86="","",IFERROR(INDEX(Summary!$B$2:$B$14,MATCH(C86,Summary!$A$2:$A$14,0)),"?"))</f>
        <v>Central Midfielder</v>
      </c>
      <c r="E86" s="5" t="str">
        <f aca="false">IF(C86="","",IFERROR(INDEX(Summary!$C$2:$C$14,MATCH(C86,Summary!$A$2:$A$14,0)),"?"))</f>
        <v>Centrocampo</v>
      </c>
      <c r="F86" s="6" t="n">
        <v>91</v>
      </c>
      <c r="H86" s="7" t="n">
        <f aca="false">IF(OR(B86="",F86=""),"",F86-ROW()/100000)</f>
        <v>90.99914</v>
      </c>
      <c r="I86" s="0" t="str">
        <f aca="false">IF(H86="","",C86&amp;"|"&amp;(COUNTIFS($C$2:$C$1000,C86,$H$2:$H$1000,"&gt;"&amp;H86)+1))</f>
        <v>CMF|8</v>
      </c>
    </row>
    <row r="87" customFormat="false" ht="15" hidden="false" customHeight="false" outlineLevel="0" collapsed="false">
      <c r="A87" s="2" t="n">
        <f aca="false">IF(F87="","",COUNTIF($F$2:$F$1000,"&gt;"&amp;F87)+1)</f>
        <v>79</v>
      </c>
      <c r="B87" s="3" t="s">
        <v>105</v>
      </c>
      <c r="C87" s="4" t="s">
        <v>11</v>
      </c>
      <c r="D87" s="5" t="str">
        <f aca="false">IF(C87="","",IFERROR(INDEX(Summary!$B$2:$B$14,MATCH(C87,Summary!$A$2:$A$14,0)),"?"))</f>
        <v>Central Midfielder</v>
      </c>
      <c r="E87" s="5" t="str">
        <f aca="false">IF(C87="","",IFERROR(INDEX(Summary!$C$2:$C$14,MATCH(C87,Summary!$A$2:$A$14,0)),"?"))</f>
        <v>Centrocampo</v>
      </c>
      <c r="F87" s="6" t="n">
        <v>91</v>
      </c>
      <c r="H87" s="7" t="n">
        <f aca="false">IF(OR(B87="",F87=""),"",F87-ROW()/100000)</f>
        <v>90.99913</v>
      </c>
      <c r="I87" s="0" t="str">
        <f aca="false">IF(H87="","",C87&amp;"|"&amp;(COUNTIFS($C$2:$C$1000,C87,$H$2:$H$1000,"&gt;"&amp;H87)+1))</f>
        <v>CMF|9</v>
      </c>
    </row>
    <row r="88" customFormat="false" ht="15" hidden="false" customHeight="false" outlineLevel="0" collapsed="false">
      <c r="A88" s="2" t="n">
        <f aca="false">IF(F88="","",COUNTIF($F$2:$F$1000,"&gt;"&amp;F88)+1)</f>
        <v>79</v>
      </c>
      <c r="B88" s="3" t="s">
        <v>106</v>
      </c>
      <c r="C88" s="4" t="s">
        <v>15</v>
      </c>
      <c r="D88" s="5" t="str">
        <f aca="false">IF(C88="","",IFERROR(INDEX(Summary!$B$2:$B$14,MATCH(C88,Summary!$A$2:$A$14,0)),"?"))</f>
        <v>Left Wing Forward</v>
      </c>
      <c r="E88" s="5" t="str">
        <f aca="false">IF(C88="","",IFERROR(INDEX(Summary!$C$2:$C$14,MATCH(C88,Summary!$A$2:$A$14,0)),"?"))</f>
        <v>Attacco</v>
      </c>
      <c r="F88" s="6" t="n">
        <v>91</v>
      </c>
      <c r="H88" s="7" t="n">
        <f aca="false">IF(OR(B88="",F88=""),"",F88-ROW()/100000)</f>
        <v>90.99912</v>
      </c>
      <c r="I88" s="0" t="str">
        <f aca="false">IF(H88="","",C88&amp;"|"&amp;(COUNTIFS($C$2:$C$1000,C88,$H$2:$H$1000,"&gt;"&amp;H88)+1))</f>
        <v>LWF|3</v>
      </c>
    </row>
    <row r="89" customFormat="false" ht="15" hidden="false" customHeight="false" outlineLevel="0" collapsed="false">
      <c r="A89" s="2" t="n">
        <f aca="false">IF(F89="","",COUNTIF($F$2:$F$1000,"&gt;"&amp;F89)+1)</f>
        <v>79</v>
      </c>
      <c r="B89" s="3" t="s">
        <v>107</v>
      </c>
      <c r="C89" s="4" t="s">
        <v>19</v>
      </c>
      <c r="D89" s="5" t="str">
        <f aca="false">IF(C89="","",IFERROR(INDEX(Summary!$B$2:$B$14,MATCH(C89,Summary!$A$2:$A$14,0)),"?"))</f>
        <v>Second Striker</v>
      </c>
      <c r="E89" s="5" t="str">
        <f aca="false">IF(C89="","",IFERROR(INDEX(Summary!$C$2:$C$14,MATCH(C89,Summary!$A$2:$A$14,0)),"?"))</f>
        <v>Attacco</v>
      </c>
      <c r="F89" s="6" t="n">
        <v>91</v>
      </c>
      <c r="H89" s="7" t="n">
        <f aca="false">IF(OR(B89="",F89=""),"",F89-ROW()/100000)</f>
        <v>90.99911</v>
      </c>
      <c r="I89" s="0" t="str">
        <f aca="false">IF(H89="","",C89&amp;"|"&amp;(COUNTIFS($C$2:$C$1000,C89,$H$2:$H$1000,"&gt;"&amp;H89)+1))</f>
        <v>SS|4</v>
      </c>
    </row>
    <row r="90" customFormat="false" ht="15" hidden="false" customHeight="false" outlineLevel="0" collapsed="false">
      <c r="A90" s="2" t="n">
        <f aca="false">IF(F90="","",COUNTIF($F$2:$F$1000,"&gt;"&amp;F90)+1)</f>
        <v>79</v>
      </c>
      <c r="B90" s="3" t="s">
        <v>108</v>
      </c>
      <c r="C90" s="4" t="s">
        <v>21</v>
      </c>
      <c r="D90" s="5" t="str">
        <f aca="false">IF(C90="","",IFERROR(INDEX(Summary!$B$2:$B$14,MATCH(C90,Summary!$A$2:$A$14,0)),"?"))</f>
        <v>Center Forward</v>
      </c>
      <c r="E90" s="5" t="str">
        <f aca="false">IF(C90="","",IFERROR(INDEX(Summary!$C$2:$C$14,MATCH(C90,Summary!$A$2:$A$14,0)),"?"))</f>
        <v>Attacco</v>
      </c>
      <c r="F90" s="6" t="n">
        <v>91</v>
      </c>
      <c r="H90" s="7" t="n">
        <f aca="false">IF(OR(B90="",F90=""),"",F90-ROW()/100000)</f>
        <v>90.9991</v>
      </c>
      <c r="I90" s="0" t="str">
        <f aca="false">IF(H90="","",C90&amp;"|"&amp;(COUNTIFS($C$2:$C$1000,C90,$H$2:$H$1000,"&gt;"&amp;H90)+1))</f>
        <v>CF|22</v>
      </c>
    </row>
    <row r="91" customFormat="false" ht="15" hidden="false" customHeight="false" outlineLevel="0" collapsed="false">
      <c r="A91" s="2" t="n">
        <f aca="false">IF(F91="","",COUNTIF($F$2:$F$1000,"&gt;"&amp;F91)+1)</f>
        <v>90</v>
      </c>
      <c r="B91" s="3" t="s">
        <v>109</v>
      </c>
      <c r="C91" s="4" t="s">
        <v>9</v>
      </c>
      <c r="D91" s="5" t="str">
        <f aca="false">IF(C91="","",IFERROR(INDEX(Summary!$B$2:$B$14,MATCH(C91,Summary!$A$2:$A$14,0)),"?"))</f>
        <v>Goalkeeper</v>
      </c>
      <c r="E91" s="5" t="str">
        <f aca="false">IF(C91="","",IFERROR(INDEX(Summary!$C$2:$C$14,MATCH(C91,Summary!$A$2:$A$14,0)),"?"))</f>
        <v>Portieri</v>
      </c>
      <c r="F91" s="6" t="n">
        <v>90</v>
      </c>
      <c r="H91" s="7" t="n">
        <f aca="false">IF(OR(B91="",F91=""),"",F91-ROW()/100000)</f>
        <v>89.99909</v>
      </c>
      <c r="I91" s="0" t="str">
        <f aca="false">IF(H91="","",C91&amp;"|"&amp;(COUNTIFS($C$2:$C$1000,C91,$H$2:$H$1000,"&gt;"&amp;H91)+1))</f>
        <v>GK|8</v>
      </c>
    </row>
    <row r="92" customFormat="false" ht="15" hidden="false" customHeight="false" outlineLevel="0" collapsed="false">
      <c r="A92" s="2" t="n">
        <f aca="false">IF(F92="","",COUNTIF($F$2:$F$1000,"&gt;"&amp;F92)+1)</f>
        <v>90</v>
      </c>
      <c r="B92" s="3" t="s">
        <v>110</v>
      </c>
      <c r="C92" s="4" t="s">
        <v>9</v>
      </c>
      <c r="D92" s="5" t="str">
        <f aca="false">IF(C92="","",IFERROR(INDEX(Summary!$B$2:$B$14,MATCH(C92,Summary!$A$2:$A$14,0)),"?"))</f>
        <v>Goalkeeper</v>
      </c>
      <c r="E92" s="5" t="str">
        <f aca="false">IF(C92="","",IFERROR(INDEX(Summary!$C$2:$C$14,MATCH(C92,Summary!$A$2:$A$14,0)),"?"))</f>
        <v>Portieri</v>
      </c>
      <c r="F92" s="6" t="n">
        <v>90</v>
      </c>
      <c r="H92" s="7" t="n">
        <f aca="false">IF(OR(B92="",F92=""),"",F92-ROW()/100000)</f>
        <v>89.99908</v>
      </c>
      <c r="I92" s="0" t="str">
        <f aca="false">IF(H92="","",C92&amp;"|"&amp;(COUNTIFS($C$2:$C$1000,C92,$H$2:$H$1000,"&gt;"&amp;H92)+1))</f>
        <v>GK|9</v>
      </c>
    </row>
    <row r="93" customFormat="false" ht="15" hidden="false" customHeight="false" outlineLevel="0" collapsed="false">
      <c r="A93" s="2" t="n">
        <f aca="false">IF(F93="","",COUNTIF($F$2:$F$1000,"&gt;"&amp;F93)+1)</f>
        <v>90</v>
      </c>
      <c r="B93" s="3" t="s">
        <v>111</v>
      </c>
      <c r="C93" s="4" t="s">
        <v>9</v>
      </c>
      <c r="D93" s="5" t="str">
        <f aca="false">IF(C93="","",IFERROR(INDEX(Summary!$B$2:$B$14,MATCH(C93,Summary!$A$2:$A$14,0)),"?"))</f>
        <v>Goalkeeper</v>
      </c>
      <c r="E93" s="5" t="str">
        <f aca="false">IF(C93="","",IFERROR(INDEX(Summary!$C$2:$C$14,MATCH(C93,Summary!$A$2:$A$14,0)),"?"))</f>
        <v>Portieri</v>
      </c>
      <c r="F93" s="6" t="n">
        <v>90</v>
      </c>
      <c r="H93" s="7" t="n">
        <f aca="false">IF(OR(B93="",F93=""),"",F93-ROW()/100000)</f>
        <v>89.99907</v>
      </c>
      <c r="I93" s="0" t="str">
        <f aca="false">IF(H93="","",C93&amp;"|"&amp;(COUNTIFS($C$2:$C$1000,C93,$H$2:$H$1000,"&gt;"&amp;H93)+1))</f>
        <v>GK|10</v>
      </c>
    </row>
    <row r="94" customFormat="false" ht="15" hidden="false" customHeight="false" outlineLevel="0" collapsed="false">
      <c r="A94" s="2" t="n">
        <f aca="false">IF(F94="","",COUNTIF($F$2:$F$1000,"&gt;"&amp;F94)+1)</f>
        <v>90</v>
      </c>
      <c r="B94" s="3" t="s">
        <v>112</v>
      </c>
      <c r="C94" s="4" t="s">
        <v>38</v>
      </c>
      <c r="D94" s="5" t="str">
        <f aca="false">IF(C94="","",IFERROR(INDEX(Summary!$B$2:$B$14,MATCH(C94,Summary!$A$2:$A$14,0)),"?"))</f>
        <v>Center Back</v>
      </c>
      <c r="E94" s="5" t="str">
        <f aca="false">IF(C94="","",IFERROR(INDEX(Summary!$C$2:$C$14,MATCH(C94,Summary!$A$2:$A$14,0)),"?"))</f>
        <v>Difensori</v>
      </c>
      <c r="F94" s="6" t="n">
        <v>90</v>
      </c>
      <c r="H94" s="7" t="n">
        <f aca="false">IF(OR(B94="",F94=""),"",F94-ROW()/100000)</f>
        <v>89.99906</v>
      </c>
      <c r="I94" s="0" t="str">
        <f aca="false">IF(H94="","",C94&amp;"|"&amp;(COUNTIFS($C$2:$C$1000,C94,$H$2:$H$1000,"&gt;"&amp;H94)+1))</f>
        <v>CB|13</v>
      </c>
    </row>
    <row r="95" customFormat="false" ht="15" hidden="false" customHeight="false" outlineLevel="0" collapsed="false">
      <c r="A95" s="2" t="n">
        <f aca="false">IF(F95="","",COUNTIF($F$2:$F$1000,"&gt;"&amp;F95)+1)</f>
        <v>90</v>
      </c>
      <c r="B95" s="3" t="s">
        <v>113</v>
      </c>
      <c r="C95" s="4" t="s">
        <v>23</v>
      </c>
      <c r="D95" s="5" t="str">
        <f aca="false">IF(C95="","",IFERROR(INDEX(Summary!$B$2:$B$14,MATCH(C95,Summary!$A$2:$A$14,0)),"?"))</f>
        <v>Left Back</v>
      </c>
      <c r="E95" s="5" t="str">
        <f aca="false">IF(C95="","",IFERROR(INDEX(Summary!$C$2:$C$14,MATCH(C95,Summary!$A$2:$A$14,0)),"?"))</f>
        <v>Difensori</v>
      </c>
      <c r="F95" s="6" t="n">
        <v>90</v>
      </c>
      <c r="H95" s="7" t="n">
        <f aca="false">IF(OR(B95="",F95=""),"",F95-ROW()/100000)</f>
        <v>89.99905</v>
      </c>
      <c r="I95" s="0" t="str">
        <f aca="false">IF(H95="","",C95&amp;"|"&amp;(COUNTIFS($C$2:$C$1000,C95,$H$2:$H$1000,"&gt;"&amp;H95)+1))</f>
        <v>LB|4</v>
      </c>
    </row>
    <row r="96" customFormat="false" ht="15" hidden="false" customHeight="false" outlineLevel="0" collapsed="false">
      <c r="A96" s="2" t="n">
        <f aca="false">IF(F96="","",COUNTIF($F$2:$F$1000,"&gt;"&amp;F96)+1)</f>
        <v>90</v>
      </c>
      <c r="B96" s="3" t="s">
        <v>114</v>
      </c>
      <c r="C96" s="4" t="s">
        <v>61</v>
      </c>
      <c r="D96" s="5" t="str">
        <f aca="false">IF(C96="","",IFERROR(INDEX(Summary!$B$2:$B$14,MATCH(C96,Summary!$A$2:$A$14,0)),"?"))</f>
        <v>Right Back</v>
      </c>
      <c r="E96" s="5" t="str">
        <f aca="false">IF(C96="","",IFERROR(INDEX(Summary!$C$2:$C$14,MATCH(C96,Summary!$A$2:$A$14,0)),"?"))</f>
        <v>Difensori</v>
      </c>
      <c r="F96" s="6" t="n">
        <v>90</v>
      </c>
      <c r="H96" s="7" t="n">
        <f aca="false">IF(OR(B96="",F96=""),"",F96-ROW()/100000)</f>
        <v>89.99904</v>
      </c>
      <c r="I96" s="0" t="str">
        <f aca="false">IF(H96="","",C96&amp;"|"&amp;(COUNTIFS($C$2:$C$1000,C96,$H$2:$H$1000,"&gt;"&amp;H96)+1))</f>
        <v>RB|5</v>
      </c>
    </row>
    <row r="97" customFormat="false" ht="15" hidden="false" customHeight="false" outlineLevel="0" collapsed="false">
      <c r="A97" s="2" t="n">
        <f aca="false">IF(F97="","",COUNTIF($F$2:$F$1000,"&gt;"&amp;F97)+1)</f>
        <v>90</v>
      </c>
      <c r="B97" s="3" t="s">
        <v>115</v>
      </c>
      <c r="C97" s="4" t="s">
        <v>51</v>
      </c>
      <c r="D97" s="5" t="str">
        <f aca="false">IF(C97="","",IFERROR(INDEX(Summary!$B$2:$B$14,MATCH(C97,Summary!$A$2:$A$14,0)),"?"))</f>
        <v>Defensive Midfielder</v>
      </c>
      <c r="E97" s="5" t="str">
        <f aca="false">IF(C97="","",IFERROR(INDEX(Summary!$C$2:$C$14,MATCH(C97,Summary!$A$2:$A$14,0)),"?"))</f>
        <v>Centrocampo</v>
      </c>
      <c r="F97" s="6" t="n">
        <v>90</v>
      </c>
      <c r="H97" s="7" t="n">
        <f aca="false">IF(OR(B97="",F97=""),"",F97-ROW()/100000)</f>
        <v>89.99903</v>
      </c>
      <c r="I97" s="0" t="str">
        <f aca="false">IF(H97="","",C97&amp;"|"&amp;(COUNTIFS($C$2:$C$1000,C97,$H$2:$H$1000,"&gt;"&amp;H97)+1))</f>
        <v>DMF|11</v>
      </c>
    </row>
    <row r="98" customFormat="false" ht="15" hidden="false" customHeight="false" outlineLevel="0" collapsed="false">
      <c r="A98" s="2" t="n">
        <f aca="false">IF(F98="","",COUNTIF($F$2:$F$1000,"&gt;"&amp;F98)+1)</f>
        <v>90</v>
      </c>
      <c r="B98" s="3" t="s">
        <v>116</v>
      </c>
      <c r="C98" s="4" t="s">
        <v>51</v>
      </c>
      <c r="D98" s="5" t="str">
        <f aca="false">IF(C98="","",IFERROR(INDEX(Summary!$B$2:$B$14,MATCH(C98,Summary!$A$2:$A$14,0)),"?"))</f>
        <v>Defensive Midfielder</v>
      </c>
      <c r="E98" s="5" t="str">
        <f aca="false">IF(C98="","",IFERROR(INDEX(Summary!$C$2:$C$14,MATCH(C98,Summary!$A$2:$A$14,0)),"?"))</f>
        <v>Centrocampo</v>
      </c>
      <c r="F98" s="6" t="n">
        <v>90</v>
      </c>
      <c r="H98" s="7" t="n">
        <f aca="false">IF(OR(B98="",F98=""),"",F98-ROW()/100000)</f>
        <v>89.99902</v>
      </c>
      <c r="I98" s="0" t="str">
        <f aca="false">IF(H98="","",C98&amp;"|"&amp;(COUNTIFS($C$2:$C$1000,C98,$H$2:$H$1000,"&gt;"&amp;H98)+1))</f>
        <v>DMF|12</v>
      </c>
    </row>
    <row r="99" customFormat="false" ht="15" hidden="false" customHeight="false" outlineLevel="0" collapsed="false">
      <c r="A99" s="2" t="n">
        <f aca="false">IF(F99="","",COUNTIF($F$2:$F$1000,"&gt;"&amp;F99)+1)</f>
        <v>90</v>
      </c>
      <c r="B99" s="3" t="s">
        <v>117</v>
      </c>
      <c r="C99" s="4" t="s">
        <v>11</v>
      </c>
      <c r="D99" s="5" t="str">
        <f aca="false">IF(C99="","",IFERROR(INDEX(Summary!$B$2:$B$14,MATCH(C99,Summary!$A$2:$A$14,0)),"?"))</f>
        <v>Central Midfielder</v>
      </c>
      <c r="E99" s="5" t="str">
        <f aca="false">IF(C99="","",IFERROR(INDEX(Summary!$C$2:$C$14,MATCH(C99,Summary!$A$2:$A$14,0)),"?"))</f>
        <v>Centrocampo</v>
      </c>
      <c r="F99" s="6" t="n">
        <v>90</v>
      </c>
      <c r="H99" s="7" t="n">
        <f aca="false">IF(OR(B99="",F99=""),"",F99-ROW()/100000)</f>
        <v>89.99901</v>
      </c>
      <c r="I99" s="0" t="str">
        <f aca="false">IF(H99="","",C99&amp;"|"&amp;(COUNTIFS($C$2:$C$1000,C99,$H$2:$H$1000,"&gt;"&amp;H99)+1))</f>
        <v>CMF|10</v>
      </c>
    </row>
    <row r="100" customFormat="false" ht="15" hidden="false" customHeight="false" outlineLevel="0" collapsed="false">
      <c r="A100" s="2" t="n">
        <f aca="false">IF(F100="","",COUNTIF($F$2:$F$1000,"&gt;"&amp;F100)+1)</f>
        <v>90</v>
      </c>
      <c r="B100" s="3" t="s">
        <v>118</v>
      </c>
      <c r="C100" s="4" t="s">
        <v>42</v>
      </c>
      <c r="D100" s="5" t="str">
        <f aca="false">IF(C100="","",IFERROR(INDEX(Summary!$B$2:$B$14,MATCH(C100,Summary!$A$2:$A$14,0)),"?"))</f>
        <v>Left Midfielder</v>
      </c>
      <c r="E100" s="5" t="str">
        <f aca="false">IF(C100="","",IFERROR(INDEX(Summary!$C$2:$C$14,MATCH(C100,Summary!$A$2:$A$14,0)),"?"))</f>
        <v>Centrocampo</v>
      </c>
      <c r="F100" s="6" t="n">
        <v>90</v>
      </c>
      <c r="H100" s="7" t="n">
        <f aca="false">IF(OR(B100="",F100=""),"",F100-ROW()/100000)</f>
        <v>89.999</v>
      </c>
      <c r="I100" s="0" t="str">
        <f aca="false">IF(H100="","",C100&amp;"|"&amp;(COUNTIFS($C$2:$C$1000,C100,$H$2:$H$1000,"&gt;"&amp;H100)+1))</f>
        <v>LMF|6</v>
      </c>
    </row>
    <row r="101" customFormat="false" ht="15" hidden="false" customHeight="false" outlineLevel="0" collapsed="false">
      <c r="A101" s="2" t="n">
        <f aca="false">IF(F101="","",COUNTIF($F$2:$F$1000,"&gt;"&amp;F101)+1)</f>
        <v>90</v>
      </c>
      <c r="B101" s="3" t="s">
        <v>119</v>
      </c>
      <c r="C101" s="4" t="s">
        <v>28</v>
      </c>
      <c r="D101" s="5" t="str">
        <f aca="false">IF(C101="","",IFERROR(INDEX(Summary!$B$2:$B$14,MATCH(C101,Summary!$A$2:$A$14,0)),"?"))</f>
        <v>Right Midfielder</v>
      </c>
      <c r="E101" s="5" t="str">
        <f aca="false">IF(C101="","",IFERROR(INDEX(Summary!$C$2:$C$14,MATCH(C101,Summary!$A$2:$A$14,0)),"?"))</f>
        <v>Centrocampo</v>
      </c>
      <c r="F101" s="6" t="n">
        <v>90</v>
      </c>
      <c r="H101" s="7" t="n">
        <f aca="false">IF(OR(B101="",F101=""),"",F101-ROW()/100000)</f>
        <v>89.99899</v>
      </c>
      <c r="I101" s="0" t="str">
        <f aca="false">IF(H101="","",C101&amp;"|"&amp;(COUNTIFS($C$2:$C$1000,C101,$H$2:$H$1000,"&gt;"&amp;H101)+1))</f>
        <v>RMF|4</v>
      </c>
    </row>
    <row r="102" customFormat="false" ht="15" hidden="false" customHeight="false" outlineLevel="0" collapsed="false">
      <c r="A102" s="2" t="n">
        <f aca="false">IF(F102="","",COUNTIF($F$2:$F$1000,"&gt;"&amp;F102)+1)</f>
        <v>90</v>
      </c>
      <c r="B102" s="3" t="s">
        <v>120</v>
      </c>
      <c r="C102" s="4" t="s">
        <v>31</v>
      </c>
      <c r="D102" s="5" t="str">
        <f aca="false">IF(C102="","",IFERROR(INDEX(Summary!$B$2:$B$14,MATCH(C102,Summary!$A$2:$A$14,0)),"?"))</f>
        <v>Attacking Midfielder</v>
      </c>
      <c r="E102" s="5" t="str">
        <f aca="false">IF(C102="","",IFERROR(INDEX(Summary!$C$2:$C$14,MATCH(C102,Summary!$A$2:$A$14,0)),"?"))</f>
        <v>Centrocampo</v>
      </c>
      <c r="F102" s="6" t="n">
        <v>90</v>
      </c>
      <c r="H102" s="7" t="n">
        <f aca="false">IF(OR(B102="",F102=""),"",F102-ROW()/100000)</f>
        <v>89.99898</v>
      </c>
      <c r="I102" s="0" t="str">
        <f aca="false">IF(H102="","",C102&amp;"|"&amp;(COUNTIFS($C$2:$C$1000,C102,$H$2:$H$1000,"&gt;"&amp;H102)+1))</f>
        <v>AMF|7</v>
      </c>
    </row>
    <row r="103" customFormat="false" ht="15" hidden="false" customHeight="false" outlineLevel="0" collapsed="false">
      <c r="A103" s="2" t="n">
        <f aca="false">IF(F103="","",COUNTIF($F$2:$F$1000,"&gt;"&amp;F103)+1)</f>
        <v>90</v>
      </c>
      <c r="B103" s="3" t="s">
        <v>121</v>
      </c>
      <c r="C103" s="4" t="s">
        <v>21</v>
      </c>
      <c r="D103" s="5" t="str">
        <f aca="false">IF(C103="","",IFERROR(INDEX(Summary!$B$2:$B$14,MATCH(C103,Summary!$A$2:$A$14,0)),"?"))</f>
        <v>Center Forward</v>
      </c>
      <c r="E103" s="5" t="str">
        <f aca="false">IF(C103="","",IFERROR(INDEX(Summary!$C$2:$C$14,MATCH(C103,Summary!$A$2:$A$14,0)),"?"))</f>
        <v>Attacco</v>
      </c>
      <c r="F103" s="6" t="n">
        <v>90</v>
      </c>
      <c r="H103" s="7" t="n">
        <f aca="false">IF(OR(B103="",F103=""),"",F103-ROW()/100000)</f>
        <v>89.99897</v>
      </c>
      <c r="I103" s="0" t="str">
        <f aca="false">IF(H103="","",C103&amp;"|"&amp;(COUNTIFS($C$2:$C$1000,C103,$H$2:$H$1000,"&gt;"&amp;H103)+1))</f>
        <v>CF|23</v>
      </c>
    </row>
    <row r="104" customFormat="false" ht="15" hidden="false" customHeight="false" outlineLevel="0" collapsed="false">
      <c r="A104" s="2" t="n">
        <f aca="false">IF(F104="","",COUNTIF($F$2:$F$1000,"&gt;"&amp;F104)+1)</f>
        <v>90</v>
      </c>
      <c r="B104" s="3" t="s">
        <v>122</v>
      </c>
      <c r="C104" s="4" t="s">
        <v>21</v>
      </c>
      <c r="D104" s="5" t="str">
        <f aca="false">IF(C104="","",IFERROR(INDEX(Summary!$B$2:$B$14,MATCH(C104,Summary!$A$2:$A$14,0)),"?"))</f>
        <v>Center Forward</v>
      </c>
      <c r="E104" s="5" t="str">
        <f aca="false">IF(C104="","",IFERROR(INDEX(Summary!$C$2:$C$14,MATCH(C104,Summary!$A$2:$A$14,0)),"?"))</f>
        <v>Attacco</v>
      </c>
      <c r="F104" s="6" t="n">
        <v>90</v>
      </c>
      <c r="H104" s="7" t="n">
        <f aca="false">IF(OR(B104="",F104=""),"",F104-ROW()/100000)</f>
        <v>89.99896</v>
      </c>
      <c r="I104" s="0" t="str">
        <f aca="false">IF(H104="","",C104&amp;"|"&amp;(COUNTIFS($C$2:$C$1000,C104,$H$2:$H$1000,"&gt;"&amp;H104)+1))</f>
        <v>CF|24</v>
      </c>
    </row>
    <row r="105" customFormat="false" ht="15" hidden="false" customHeight="false" outlineLevel="0" collapsed="false">
      <c r="A105" s="2" t="n">
        <f aca="false">IF(F105="","",COUNTIF($F$2:$F$1000,"&gt;"&amp;F105)+1)</f>
        <v>90</v>
      </c>
      <c r="B105" s="3" t="s">
        <v>123</v>
      </c>
      <c r="C105" s="4" t="s">
        <v>21</v>
      </c>
      <c r="D105" s="5" t="str">
        <f aca="false">IF(C105="","",IFERROR(INDEX(Summary!$B$2:$B$14,MATCH(C105,Summary!$A$2:$A$14,0)),"?"))</f>
        <v>Center Forward</v>
      </c>
      <c r="E105" s="5" t="str">
        <f aca="false">IF(C105="","",IFERROR(INDEX(Summary!$C$2:$C$14,MATCH(C105,Summary!$A$2:$A$14,0)),"?"))</f>
        <v>Attacco</v>
      </c>
      <c r="F105" s="6" t="n">
        <v>90</v>
      </c>
      <c r="H105" s="7" t="n">
        <f aca="false">IF(OR(B105="",F105=""),"",F105-ROW()/100000)</f>
        <v>89.99895</v>
      </c>
      <c r="I105" s="0" t="str">
        <f aca="false">IF(H105="","",C105&amp;"|"&amp;(COUNTIFS($C$2:$C$1000,C105,$H$2:$H$1000,"&gt;"&amp;H105)+1))</f>
        <v>CF|25</v>
      </c>
    </row>
    <row r="106" customFormat="false" ht="15" hidden="false" customHeight="false" outlineLevel="0" collapsed="false">
      <c r="A106" s="2" t="n">
        <f aca="false">IF(F106="","",COUNTIF($F$2:$F$1000,"&gt;"&amp;F106)+1)</f>
        <v>105</v>
      </c>
      <c r="B106" s="3" t="s">
        <v>124</v>
      </c>
      <c r="C106" s="4" t="s">
        <v>9</v>
      </c>
      <c r="D106" s="5" t="str">
        <f aca="false">IF(C106="","",IFERROR(INDEX(Summary!$B$2:$B$14,MATCH(C106,Summary!$A$2:$A$14,0)),"?"))</f>
        <v>Goalkeeper</v>
      </c>
      <c r="E106" s="5" t="str">
        <f aca="false">IF(C106="","",IFERROR(INDEX(Summary!$C$2:$C$14,MATCH(C106,Summary!$A$2:$A$14,0)),"?"))</f>
        <v>Portieri</v>
      </c>
      <c r="F106" s="6" t="n">
        <v>89</v>
      </c>
      <c r="H106" s="7" t="n">
        <f aca="false">IF(OR(B106="",F106=""),"",F106-ROW()/100000)</f>
        <v>88.99894</v>
      </c>
      <c r="I106" s="0" t="str">
        <f aca="false">IF(H106="","",C106&amp;"|"&amp;(COUNTIFS($C$2:$C$1000,C106,$H$2:$H$1000,"&gt;"&amp;H106)+1))</f>
        <v>GK|11</v>
      </c>
    </row>
    <row r="107" customFormat="false" ht="15" hidden="false" customHeight="false" outlineLevel="0" collapsed="false">
      <c r="A107" s="2" t="n">
        <f aca="false">IF(F107="","",COUNTIF($F$2:$F$1000,"&gt;"&amp;F107)+1)</f>
        <v>105</v>
      </c>
      <c r="B107" s="3" t="s">
        <v>125</v>
      </c>
      <c r="C107" s="4" t="s">
        <v>9</v>
      </c>
      <c r="D107" s="5" t="str">
        <f aca="false">IF(C107="","",IFERROR(INDEX(Summary!$B$2:$B$14,MATCH(C107,Summary!$A$2:$A$14,0)),"?"))</f>
        <v>Goalkeeper</v>
      </c>
      <c r="E107" s="5" t="str">
        <f aca="false">IF(C107="","",IFERROR(INDEX(Summary!$C$2:$C$14,MATCH(C107,Summary!$A$2:$A$14,0)),"?"))</f>
        <v>Portieri</v>
      </c>
      <c r="F107" s="6" t="n">
        <v>89</v>
      </c>
      <c r="H107" s="7" t="n">
        <f aca="false">IF(OR(B107="",F107=""),"",F107-ROW()/100000)</f>
        <v>88.99893</v>
      </c>
      <c r="I107" s="0" t="str">
        <f aca="false">IF(H107="","",C107&amp;"|"&amp;(COUNTIFS($C$2:$C$1000,C107,$H$2:$H$1000,"&gt;"&amp;H107)+1))</f>
        <v>GK|12</v>
      </c>
    </row>
    <row r="108" customFormat="false" ht="15" hidden="false" customHeight="false" outlineLevel="0" collapsed="false">
      <c r="A108" s="2" t="n">
        <f aca="false">IF(F108="","",COUNTIF($F$2:$F$1000,"&gt;"&amp;F108)+1)</f>
        <v>105</v>
      </c>
      <c r="B108" s="3" t="s">
        <v>126</v>
      </c>
      <c r="C108" s="4" t="s">
        <v>38</v>
      </c>
      <c r="D108" s="5" t="str">
        <f aca="false">IF(C108="","",IFERROR(INDEX(Summary!$B$2:$B$14,MATCH(C108,Summary!$A$2:$A$14,0)),"?"))</f>
        <v>Center Back</v>
      </c>
      <c r="E108" s="5" t="str">
        <f aca="false">IF(C108="","",IFERROR(INDEX(Summary!$C$2:$C$14,MATCH(C108,Summary!$A$2:$A$14,0)),"?"))</f>
        <v>Difensori</v>
      </c>
      <c r="F108" s="6" t="n">
        <v>89</v>
      </c>
      <c r="H108" s="7" t="n">
        <f aca="false">IF(OR(B108="",F108=""),"",F108-ROW()/100000)</f>
        <v>88.99892</v>
      </c>
      <c r="I108" s="0" t="str">
        <f aca="false">IF(H108="","",C108&amp;"|"&amp;(COUNTIFS($C$2:$C$1000,C108,$H$2:$H$1000,"&gt;"&amp;H108)+1))</f>
        <v>CB|14</v>
      </c>
    </row>
    <row r="109" customFormat="false" ht="15" hidden="false" customHeight="false" outlineLevel="0" collapsed="false">
      <c r="A109" s="2" t="n">
        <f aca="false">IF(F109="","",COUNTIF($F$2:$F$1000,"&gt;"&amp;F109)+1)</f>
        <v>105</v>
      </c>
      <c r="B109" s="3" t="s">
        <v>127</v>
      </c>
      <c r="C109" s="4" t="s">
        <v>61</v>
      </c>
      <c r="D109" s="5" t="str">
        <f aca="false">IF(C109="","",IFERROR(INDEX(Summary!$B$2:$B$14,MATCH(C109,Summary!$A$2:$A$14,0)),"?"))</f>
        <v>Right Back</v>
      </c>
      <c r="E109" s="5" t="str">
        <f aca="false">IF(C109="","",IFERROR(INDEX(Summary!$C$2:$C$14,MATCH(C109,Summary!$A$2:$A$14,0)),"?"))</f>
        <v>Difensori</v>
      </c>
      <c r="F109" s="6" t="n">
        <v>89</v>
      </c>
      <c r="H109" s="7" t="n">
        <f aca="false">IF(OR(B109="",F109=""),"",F109-ROW()/100000)</f>
        <v>88.99891</v>
      </c>
      <c r="I109" s="0" t="str">
        <f aca="false">IF(H109="","",C109&amp;"|"&amp;(COUNTIFS($C$2:$C$1000,C109,$H$2:$H$1000,"&gt;"&amp;H109)+1))</f>
        <v>RB|6</v>
      </c>
    </row>
    <row r="110" customFormat="false" ht="15" hidden="false" customHeight="false" outlineLevel="0" collapsed="false">
      <c r="A110" s="2" t="n">
        <f aca="false">IF(F110="","",COUNTIF($F$2:$F$1000,"&gt;"&amp;F110)+1)</f>
        <v>105</v>
      </c>
      <c r="B110" s="3" t="s">
        <v>128</v>
      </c>
      <c r="C110" s="4" t="s">
        <v>61</v>
      </c>
      <c r="D110" s="5" t="str">
        <f aca="false">IF(C110="","",IFERROR(INDEX(Summary!$B$2:$B$14,MATCH(C110,Summary!$A$2:$A$14,0)),"?"))</f>
        <v>Right Back</v>
      </c>
      <c r="E110" s="5" t="str">
        <f aca="false">IF(C110="","",IFERROR(INDEX(Summary!$C$2:$C$14,MATCH(C110,Summary!$A$2:$A$14,0)),"?"))</f>
        <v>Difensori</v>
      </c>
      <c r="F110" s="6" t="n">
        <v>89</v>
      </c>
      <c r="H110" s="7" t="n">
        <f aca="false">IF(OR(B110="",F110=""),"",F110-ROW()/100000)</f>
        <v>88.9989</v>
      </c>
      <c r="I110" s="0" t="str">
        <f aca="false">IF(H110="","",C110&amp;"|"&amp;(COUNTIFS($C$2:$C$1000,C110,$H$2:$H$1000,"&gt;"&amp;H110)+1))</f>
        <v>RB|7</v>
      </c>
    </row>
    <row r="111" customFormat="false" ht="15" hidden="false" customHeight="false" outlineLevel="0" collapsed="false">
      <c r="A111" s="2" t="n">
        <f aca="false">IF(F111="","",COUNTIF($F$2:$F$1000,"&gt;"&amp;F111)+1)</f>
        <v>105</v>
      </c>
      <c r="B111" s="3" t="s">
        <v>129</v>
      </c>
      <c r="C111" s="4" t="s">
        <v>61</v>
      </c>
      <c r="D111" s="5" t="str">
        <f aca="false">IF(C111="","",IFERROR(INDEX(Summary!$B$2:$B$14,MATCH(C111,Summary!$A$2:$A$14,0)),"?"))</f>
        <v>Right Back</v>
      </c>
      <c r="E111" s="5" t="str">
        <f aca="false">IF(C111="","",IFERROR(INDEX(Summary!$C$2:$C$14,MATCH(C111,Summary!$A$2:$A$14,0)),"?"))</f>
        <v>Difensori</v>
      </c>
      <c r="F111" s="6" t="n">
        <v>89</v>
      </c>
      <c r="H111" s="7" t="n">
        <f aca="false">IF(OR(B111="",F111=""),"",F111-ROW()/100000)</f>
        <v>88.99889</v>
      </c>
      <c r="I111" s="0" t="str">
        <f aca="false">IF(H111="","",C111&amp;"|"&amp;(COUNTIFS($C$2:$C$1000,C111,$H$2:$H$1000,"&gt;"&amp;H111)+1))</f>
        <v>RB|8</v>
      </c>
    </row>
    <row r="112" customFormat="false" ht="15" hidden="false" customHeight="false" outlineLevel="0" collapsed="false">
      <c r="A112" s="2" t="n">
        <f aca="false">IF(F112="","",COUNTIF($F$2:$F$1000,"&gt;"&amp;F112)+1)</f>
        <v>105</v>
      </c>
      <c r="B112" s="3" t="s">
        <v>130</v>
      </c>
      <c r="C112" s="4" t="s">
        <v>15</v>
      </c>
      <c r="D112" s="5" t="str">
        <f aca="false">IF(C112="","",IFERROR(INDEX(Summary!$B$2:$B$14,MATCH(C112,Summary!$A$2:$A$14,0)),"?"))</f>
        <v>Left Wing Forward</v>
      </c>
      <c r="E112" s="5" t="str">
        <f aca="false">IF(C112="","",IFERROR(INDEX(Summary!$C$2:$C$14,MATCH(C112,Summary!$A$2:$A$14,0)),"?"))</f>
        <v>Attacco</v>
      </c>
      <c r="F112" s="6" t="n">
        <v>89</v>
      </c>
      <c r="H112" s="7" t="n">
        <f aca="false">IF(OR(B112="",F112=""),"",F112-ROW()/100000)</f>
        <v>88.99888</v>
      </c>
      <c r="I112" s="0" t="str">
        <f aca="false">IF(H112="","",C112&amp;"|"&amp;(COUNTIFS($C$2:$C$1000,C112,$H$2:$H$1000,"&gt;"&amp;H112)+1))</f>
        <v>LWF|4</v>
      </c>
    </row>
    <row r="113" customFormat="false" ht="15" hidden="false" customHeight="false" outlineLevel="0" collapsed="false">
      <c r="A113" s="2" t="n">
        <f aca="false">IF(F113="","",COUNTIF($F$2:$F$1000,"&gt;"&amp;F113)+1)</f>
        <v>105</v>
      </c>
      <c r="B113" s="3" t="s">
        <v>131</v>
      </c>
      <c r="C113" s="4" t="s">
        <v>19</v>
      </c>
      <c r="D113" s="5" t="str">
        <f aca="false">IF(C113="","",IFERROR(INDEX(Summary!$B$2:$B$14,MATCH(C113,Summary!$A$2:$A$14,0)),"?"))</f>
        <v>Second Striker</v>
      </c>
      <c r="E113" s="5" t="str">
        <f aca="false">IF(C113="","",IFERROR(INDEX(Summary!$C$2:$C$14,MATCH(C113,Summary!$A$2:$A$14,0)),"?"))</f>
        <v>Attacco</v>
      </c>
      <c r="F113" s="6" t="n">
        <v>89</v>
      </c>
      <c r="H113" s="7" t="n">
        <f aca="false">IF(OR(B113="",F113=""),"",F113-ROW()/100000)</f>
        <v>88.99887</v>
      </c>
      <c r="I113" s="0" t="str">
        <f aca="false">IF(H113="","",C113&amp;"|"&amp;(COUNTIFS($C$2:$C$1000,C113,$H$2:$H$1000,"&gt;"&amp;H113)+1))</f>
        <v>SS|5</v>
      </c>
    </row>
    <row r="114" customFormat="false" ht="15" hidden="false" customHeight="false" outlineLevel="0" collapsed="false">
      <c r="A114" s="2" t="n">
        <f aca="false">IF(F114="","",COUNTIF($F$2:$F$1000,"&gt;"&amp;F114)+1)</f>
        <v>105</v>
      </c>
      <c r="B114" s="3" t="s">
        <v>132</v>
      </c>
      <c r="C114" s="4" t="s">
        <v>21</v>
      </c>
      <c r="D114" s="5" t="str">
        <f aca="false">IF(C114="","",IFERROR(INDEX(Summary!$B$2:$B$14,MATCH(C114,Summary!$A$2:$A$14,0)),"?"))</f>
        <v>Center Forward</v>
      </c>
      <c r="E114" s="5" t="str">
        <f aca="false">IF(C114="","",IFERROR(INDEX(Summary!$C$2:$C$14,MATCH(C114,Summary!$A$2:$A$14,0)),"?"))</f>
        <v>Attacco</v>
      </c>
      <c r="F114" s="6" t="n">
        <v>89</v>
      </c>
      <c r="H114" s="7" t="n">
        <f aca="false">IF(OR(B114="",F114=""),"",F114-ROW()/100000)</f>
        <v>88.99886</v>
      </c>
      <c r="I114" s="0" t="str">
        <f aca="false">IF(H114="","",C114&amp;"|"&amp;(COUNTIFS($C$2:$C$1000,C114,$H$2:$H$1000,"&gt;"&amp;H114)+1))</f>
        <v>CF|26</v>
      </c>
    </row>
    <row r="115" customFormat="false" ht="15" hidden="false" customHeight="false" outlineLevel="0" collapsed="false">
      <c r="A115" s="2" t="n">
        <f aca="false">IF(F115="","",COUNTIF($F$2:$F$1000,"&gt;"&amp;F115)+1)</f>
        <v>114</v>
      </c>
      <c r="B115" s="3" t="s">
        <v>133</v>
      </c>
      <c r="C115" s="4" t="s">
        <v>9</v>
      </c>
      <c r="D115" s="5" t="str">
        <f aca="false">IF(C115="","",IFERROR(INDEX(Summary!$B$2:$B$14,MATCH(C115,Summary!$A$2:$A$14,0)),"?"))</f>
        <v>Goalkeeper</v>
      </c>
      <c r="E115" s="5" t="str">
        <f aca="false">IF(C115="","",IFERROR(INDEX(Summary!$C$2:$C$14,MATCH(C115,Summary!$A$2:$A$14,0)),"?"))</f>
        <v>Portieri</v>
      </c>
      <c r="F115" s="6" t="n">
        <v>88</v>
      </c>
      <c r="H115" s="7" t="n">
        <f aca="false">IF(OR(B115="",F115=""),"",F115-ROW()/100000)</f>
        <v>87.99885</v>
      </c>
      <c r="I115" s="0" t="str">
        <f aca="false">IF(H115="","",C115&amp;"|"&amp;(COUNTIFS($C$2:$C$1000,C115,$H$2:$H$1000,"&gt;"&amp;H115)+1))</f>
        <v>GK|13</v>
      </c>
    </row>
    <row r="116" customFormat="false" ht="15" hidden="false" customHeight="false" outlineLevel="0" collapsed="false">
      <c r="A116" s="2" t="n">
        <f aca="false">IF(F116="","",COUNTIF($F$2:$F$1000,"&gt;"&amp;F116)+1)</f>
        <v>114</v>
      </c>
      <c r="B116" s="3" t="s">
        <v>134</v>
      </c>
      <c r="C116" s="4" t="s">
        <v>38</v>
      </c>
      <c r="D116" s="5" t="str">
        <f aca="false">IF(C116="","",IFERROR(INDEX(Summary!$B$2:$B$14,MATCH(C116,Summary!$A$2:$A$14,0)),"?"))</f>
        <v>Center Back</v>
      </c>
      <c r="E116" s="5" t="str">
        <f aca="false">IF(C116="","",IFERROR(INDEX(Summary!$C$2:$C$14,MATCH(C116,Summary!$A$2:$A$14,0)),"?"))</f>
        <v>Difensori</v>
      </c>
      <c r="F116" s="6" t="n">
        <v>88</v>
      </c>
      <c r="H116" s="7" t="n">
        <f aca="false">IF(OR(B116="",F116=""),"",F116-ROW()/100000)</f>
        <v>87.99884</v>
      </c>
      <c r="I116" s="0" t="str">
        <f aca="false">IF(H116="","",C116&amp;"|"&amp;(COUNTIFS($C$2:$C$1000,C116,$H$2:$H$1000,"&gt;"&amp;H116)+1))</f>
        <v>CB|15</v>
      </c>
    </row>
    <row r="117" customFormat="false" ht="15" hidden="false" customHeight="false" outlineLevel="0" collapsed="false">
      <c r="A117" s="2" t="n">
        <f aca="false">IF(F117="","",COUNTIF($F$2:$F$1000,"&gt;"&amp;F117)+1)</f>
        <v>114</v>
      </c>
      <c r="B117" s="3" t="s">
        <v>135</v>
      </c>
      <c r="C117" s="4" t="s">
        <v>38</v>
      </c>
      <c r="D117" s="5" t="str">
        <f aca="false">IF(C117="","",IFERROR(INDEX(Summary!$B$2:$B$14,MATCH(C117,Summary!$A$2:$A$14,0)),"?"))</f>
        <v>Center Back</v>
      </c>
      <c r="E117" s="5" t="str">
        <f aca="false">IF(C117="","",IFERROR(INDEX(Summary!$C$2:$C$14,MATCH(C117,Summary!$A$2:$A$14,0)),"?"))</f>
        <v>Difensori</v>
      </c>
      <c r="F117" s="6" t="n">
        <v>88</v>
      </c>
      <c r="H117" s="7" t="n">
        <f aca="false">IF(OR(B117="",F117=""),"",F117-ROW()/100000)</f>
        <v>87.99883</v>
      </c>
      <c r="I117" s="0" t="str">
        <f aca="false">IF(H117="","",C117&amp;"|"&amp;(COUNTIFS($C$2:$C$1000,C117,$H$2:$H$1000,"&gt;"&amp;H117)+1))</f>
        <v>CB|16</v>
      </c>
    </row>
    <row r="118" customFormat="false" ht="15" hidden="false" customHeight="false" outlineLevel="0" collapsed="false">
      <c r="A118" s="2" t="n">
        <f aca="false">IF(F118="","",COUNTIF($F$2:$F$1000,"&gt;"&amp;F118)+1)</f>
        <v>114</v>
      </c>
      <c r="B118" s="3" t="s">
        <v>136</v>
      </c>
      <c r="C118" s="4" t="s">
        <v>23</v>
      </c>
      <c r="D118" s="5" t="str">
        <f aca="false">IF(C118="","",IFERROR(INDEX(Summary!$B$2:$B$14,MATCH(C118,Summary!$A$2:$A$14,0)),"?"))</f>
        <v>Left Back</v>
      </c>
      <c r="E118" s="5" t="str">
        <f aca="false">IF(C118="","",IFERROR(INDEX(Summary!$C$2:$C$14,MATCH(C118,Summary!$A$2:$A$14,0)),"?"))</f>
        <v>Difensori</v>
      </c>
      <c r="F118" s="6" t="n">
        <v>88</v>
      </c>
      <c r="H118" s="7" t="n">
        <f aca="false">IF(OR(B118="",F118=""),"",F118-ROW()/100000)</f>
        <v>87.99882</v>
      </c>
      <c r="I118" s="0" t="str">
        <f aca="false">IF(H118="","",C118&amp;"|"&amp;(COUNTIFS($C$2:$C$1000,C118,$H$2:$H$1000,"&gt;"&amp;H118)+1))</f>
        <v>LB|5</v>
      </c>
    </row>
    <row r="119" customFormat="false" ht="15" hidden="false" customHeight="false" outlineLevel="0" collapsed="false">
      <c r="A119" s="2" t="n">
        <f aca="false">IF(F119="","",COUNTIF($F$2:$F$1000,"&gt;"&amp;F119)+1)</f>
        <v>114</v>
      </c>
      <c r="B119" s="3" t="s">
        <v>137</v>
      </c>
      <c r="C119" s="4" t="s">
        <v>51</v>
      </c>
      <c r="D119" s="5" t="str">
        <f aca="false">IF(C119="","",IFERROR(INDEX(Summary!$B$2:$B$14,MATCH(C119,Summary!$A$2:$A$14,0)),"?"))</f>
        <v>Defensive Midfielder</v>
      </c>
      <c r="E119" s="5" t="str">
        <f aca="false">IF(C119="","",IFERROR(INDEX(Summary!$C$2:$C$14,MATCH(C119,Summary!$A$2:$A$14,0)),"?"))</f>
        <v>Centrocampo</v>
      </c>
      <c r="F119" s="6" t="n">
        <v>88</v>
      </c>
      <c r="H119" s="7" t="n">
        <f aca="false">IF(OR(B119="",F119=""),"",F119-ROW()/100000)</f>
        <v>87.99881</v>
      </c>
      <c r="I119" s="0" t="str">
        <f aca="false">IF(H119="","",C119&amp;"|"&amp;(COUNTIFS($C$2:$C$1000,C119,$H$2:$H$1000,"&gt;"&amp;H119)+1))</f>
        <v>DMF|13</v>
      </c>
    </row>
    <row r="120" customFormat="false" ht="15" hidden="false" customHeight="false" outlineLevel="0" collapsed="false">
      <c r="A120" s="2" t="n">
        <f aca="false">IF(F120="","",COUNTIF($F$2:$F$1000,"&gt;"&amp;F120)+1)</f>
        <v>114</v>
      </c>
      <c r="B120" s="3" t="s">
        <v>138</v>
      </c>
      <c r="C120" s="4" t="s">
        <v>42</v>
      </c>
      <c r="D120" s="5" t="str">
        <f aca="false">IF(C120="","",IFERROR(INDEX(Summary!$B$2:$B$14,MATCH(C120,Summary!$A$2:$A$14,0)),"?"))</f>
        <v>Left Midfielder</v>
      </c>
      <c r="E120" s="5" t="str">
        <f aca="false">IF(C120="","",IFERROR(INDEX(Summary!$C$2:$C$14,MATCH(C120,Summary!$A$2:$A$14,0)),"?"))</f>
        <v>Centrocampo</v>
      </c>
      <c r="F120" s="6" t="n">
        <v>88</v>
      </c>
      <c r="H120" s="7" t="n">
        <f aca="false">IF(OR(B120="",F120=""),"",F120-ROW()/100000)</f>
        <v>87.9988</v>
      </c>
      <c r="I120" s="0" t="str">
        <f aca="false">IF(H120="","",C120&amp;"|"&amp;(COUNTIFS($C$2:$C$1000,C120,$H$2:$H$1000,"&gt;"&amp;H120)+1))</f>
        <v>LMF|7</v>
      </c>
    </row>
    <row r="121" customFormat="false" ht="15" hidden="false" customHeight="false" outlineLevel="0" collapsed="false">
      <c r="A121" s="2" t="n">
        <f aca="false">IF(F121="","",COUNTIF($F$2:$F$1000,"&gt;"&amp;F121)+1)</f>
        <v>114</v>
      </c>
      <c r="B121" s="3" t="s">
        <v>139</v>
      </c>
      <c r="C121" s="4" t="s">
        <v>28</v>
      </c>
      <c r="D121" s="5" t="str">
        <f aca="false">IF(C121="","",IFERROR(INDEX(Summary!$B$2:$B$14,MATCH(C121,Summary!$A$2:$A$14,0)),"?"))</f>
        <v>Right Midfielder</v>
      </c>
      <c r="E121" s="5" t="str">
        <f aca="false">IF(C121="","",IFERROR(INDEX(Summary!$C$2:$C$14,MATCH(C121,Summary!$A$2:$A$14,0)),"?"))</f>
        <v>Centrocampo</v>
      </c>
      <c r="F121" s="6" t="n">
        <v>88</v>
      </c>
      <c r="H121" s="7" t="n">
        <f aca="false">IF(OR(B121="",F121=""),"",F121-ROW()/100000)</f>
        <v>87.99879</v>
      </c>
      <c r="I121" s="0" t="str">
        <f aca="false">IF(H121="","",C121&amp;"|"&amp;(COUNTIFS($C$2:$C$1000,C121,$H$2:$H$1000,"&gt;"&amp;H121)+1))</f>
        <v>RMF|5</v>
      </c>
    </row>
    <row r="122" customFormat="false" ht="15" hidden="false" customHeight="false" outlineLevel="0" collapsed="false">
      <c r="A122" s="2" t="n">
        <f aca="false">IF(F122="","",COUNTIF($F$2:$F$1000,"&gt;"&amp;F122)+1)</f>
        <v>114</v>
      </c>
      <c r="B122" s="3" t="s">
        <v>140</v>
      </c>
      <c r="C122" s="4" t="s">
        <v>31</v>
      </c>
      <c r="D122" s="5" t="str">
        <f aca="false">IF(C122="","",IFERROR(INDEX(Summary!$B$2:$B$14,MATCH(C122,Summary!$A$2:$A$14,0)),"?"))</f>
        <v>Attacking Midfielder</v>
      </c>
      <c r="E122" s="5" t="str">
        <f aca="false">IF(C122="","",IFERROR(INDEX(Summary!$C$2:$C$14,MATCH(C122,Summary!$A$2:$A$14,0)),"?"))</f>
        <v>Centrocampo</v>
      </c>
      <c r="F122" s="6" t="n">
        <v>88</v>
      </c>
      <c r="H122" s="7" t="n">
        <f aca="false">IF(OR(B122="",F122=""),"",F122-ROW()/100000)</f>
        <v>87.99878</v>
      </c>
      <c r="I122" s="0" t="str">
        <f aca="false">IF(H122="","",C122&amp;"|"&amp;(COUNTIFS($C$2:$C$1000,C122,$H$2:$H$1000,"&gt;"&amp;H122)+1))</f>
        <v>AMF|8</v>
      </c>
    </row>
    <row r="123" customFormat="false" ht="15" hidden="false" customHeight="false" outlineLevel="0" collapsed="false">
      <c r="A123" s="2" t="n">
        <f aca="false">IF(F123="","",COUNTIF($F$2:$F$1000,"&gt;"&amp;F123)+1)</f>
        <v>114</v>
      </c>
      <c r="B123" s="3" t="s">
        <v>141</v>
      </c>
      <c r="C123" s="4" t="s">
        <v>31</v>
      </c>
      <c r="D123" s="5" t="str">
        <f aca="false">IF(C123="","",IFERROR(INDEX(Summary!$B$2:$B$14,MATCH(C123,Summary!$A$2:$A$14,0)),"?"))</f>
        <v>Attacking Midfielder</v>
      </c>
      <c r="E123" s="5" t="str">
        <f aca="false">IF(C123="","",IFERROR(INDEX(Summary!$C$2:$C$14,MATCH(C123,Summary!$A$2:$A$14,0)),"?"))</f>
        <v>Centrocampo</v>
      </c>
      <c r="F123" s="6" t="n">
        <v>88</v>
      </c>
      <c r="H123" s="7" t="n">
        <f aca="false">IF(OR(B123="",F123=""),"",F123-ROW()/100000)</f>
        <v>87.99877</v>
      </c>
      <c r="I123" s="0" t="str">
        <f aca="false">IF(H123="","",C123&amp;"|"&amp;(COUNTIFS($C$2:$C$1000,C123,$H$2:$H$1000,"&gt;"&amp;H123)+1))</f>
        <v>AMF|9</v>
      </c>
    </row>
    <row r="124" customFormat="false" ht="15" hidden="false" customHeight="false" outlineLevel="0" collapsed="false">
      <c r="A124" s="2" t="n">
        <f aca="false">IF(F124="","",COUNTIF($F$2:$F$1000,"&gt;"&amp;F124)+1)</f>
        <v>114</v>
      </c>
      <c r="B124" s="3" t="s">
        <v>142</v>
      </c>
      <c r="C124" s="4" t="s">
        <v>15</v>
      </c>
      <c r="D124" s="5" t="str">
        <f aca="false">IF(C124="","",IFERROR(INDEX(Summary!$B$2:$B$14,MATCH(C124,Summary!$A$2:$A$14,0)),"?"))</f>
        <v>Left Wing Forward</v>
      </c>
      <c r="E124" s="5" t="str">
        <f aca="false">IF(C124="","",IFERROR(INDEX(Summary!$C$2:$C$14,MATCH(C124,Summary!$A$2:$A$14,0)),"?"))</f>
        <v>Attacco</v>
      </c>
      <c r="F124" s="6" t="n">
        <v>88</v>
      </c>
      <c r="H124" s="7" t="n">
        <f aca="false">IF(OR(B124="",F124=""),"",F124-ROW()/100000)</f>
        <v>87.99876</v>
      </c>
      <c r="I124" s="0" t="str">
        <f aca="false">IF(H124="","",C124&amp;"|"&amp;(COUNTIFS($C$2:$C$1000,C124,$H$2:$H$1000,"&gt;"&amp;H124)+1))</f>
        <v>LWF|5</v>
      </c>
    </row>
    <row r="125" customFormat="false" ht="15" hidden="false" customHeight="false" outlineLevel="0" collapsed="false">
      <c r="A125" s="2" t="n">
        <f aca="false">IF(F125="","",COUNTIF($F$2:$F$1000,"&gt;"&amp;F125)+1)</f>
        <v>114</v>
      </c>
      <c r="B125" s="3" t="s">
        <v>143</v>
      </c>
      <c r="C125" s="4" t="s">
        <v>21</v>
      </c>
      <c r="D125" s="5" t="str">
        <f aca="false">IF(C125="","",IFERROR(INDEX(Summary!$B$2:$B$14,MATCH(C125,Summary!$A$2:$A$14,0)),"?"))</f>
        <v>Center Forward</v>
      </c>
      <c r="E125" s="5" t="str">
        <f aca="false">IF(C125="","",IFERROR(INDEX(Summary!$C$2:$C$14,MATCH(C125,Summary!$A$2:$A$14,0)),"?"))</f>
        <v>Attacco</v>
      </c>
      <c r="F125" s="6" t="n">
        <v>88</v>
      </c>
      <c r="H125" s="7" t="n">
        <f aca="false">IF(OR(B125="",F125=""),"",F125-ROW()/100000)</f>
        <v>87.99875</v>
      </c>
      <c r="I125" s="0" t="str">
        <f aca="false">IF(H125="","",C125&amp;"|"&amp;(COUNTIFS($C$2:$C$1000,C125,$H$2:$H$1000,"&gt;"&amp;H125)+1))</f>
        <v>CF|27</v>
      </c>
    </row>
    <row r="126" customFormat="false" ht="15" hidden="false" customHeight="false" outlineLevel="0" collapsed="false">
      <c r="A126" s="2" t="n">
        <f aca="false">IF(F126="","",COUNTIF($F$2:$F$1000,"&gt;"&amp;F126)+1)</f>
        <v>114</v>
      </c>
      <c r="B126" s="3" t="s">
        <v>144</v>
      </c>
      <c r="C126" s="4" t="s">
        <v>21</v>
      </c>
      <c r="D126" s="5" t="str">
        <f aca="false">IF(C126="","",IFERROR(INDEX(Summary!$B$2:$B$14,MATCH(C126,Summary!$A$2:$A$14,0)),"?"))</f>
        <v>Center Forward</v>
      </c>
      <c r="E126" s="5" t="str">
        <f aca="false">IF(C126="","",IFERROR(INDEX(Summary!$C$2:$C$14,MATCH(C126,Summary!$A$2:$A$14,0)),"?"))</f>
        <v>Attacco</v>
      </c>
      <c r="F126" s="6" t="n">
        <v>88</v>
      </c>
      <c r="H126" s="7" t="n">
        <f aca="false">IF(OR(B126="",F126=""),"",F126-ROW()/100000)</f>
        <v>87.99874</v>
      </c>
      <c r="I126" s="0" t="str">
        <f aca="false">IF(H126="","",C126&amp;"|"&amp;(COUNTIFS($C$2:$C$1000,C126,$H$2:$H$1000,"&gt;"&amp;H126)+1))</f>
        <v>CF|28</v>
      </c>
    </row>
    <row r="127" customFormat="false" ht="15" hidden="false" customHeight="false" outlineLevel="0" collapsed="false">
      <c r="A127" s="2" t="n">
        <f aca="false">IF(F127="","",COUNTIF($F$2:$F$1000,"&gt;"&amp;F127)+1)</f>
        <v>114</v>
      </c>
      <c r="B127" s="3" t="s">
        <v>145</v>
      </c>
      <c r="C127" s="4" t="s">
        <v>21</v>
      </c>
      <c r="D127" s="5" t="str">
        <f aca="false">IF(C127="","",IFERROR(INDEX(Summary!$B$2:$B$14,MATCH(C127,Summary!$A$2:$A$14,0)),"?"))</f>
        <v>Center Forward</v>
      </c>
      <c r="E127" s="5" t="str">
        <f aca="false">IF(C127="","",IFERROR(INDEX(Summary!$C$2:$C$14,MATCH(C127,Summary!$A$2:$A$14,0)),"?"))</f>
        <v>Attacco</v>
      </c>
      <c r="F127" s="6" t="n">
        <v>88</v>
      </c>
      <c r="H127" s="7" t="n">
        <f aca="false">IF(OR(B127="",F127=""),"",F127-ROW()/100000)</f>
        <v>87.99873</v>
      </c>
      <c r="I127" s="0" t="str">
        <f aca="false">IF(H127="","",C127&amp;"|"&amp;(COUNTIFS($C$2:$C$1000,C127,$H$2:$H$1000,"&gt;"&amp;H127)+1))</f>
        <v>CF|29</v>
      </c>
    </row>
    <row r="128" customFormat="false" ht="15" hidden="false" customHeight="false" outlineLevel="0" collapsed="false">
      <c r="A128" s="2" t="n">
        <f aca="false">IF(F128="","",COUNTIF($F$2:$F$1000,"&gt;"&amp;F128)+1)</f>
        <v>114</v>
      </c>
      <c r="B128" s="3" t="s">
        <v>146</v>
      </c>
      <c r="C128" s="4" t="s">
        <v>21</v>
      </c>
      <c r="D128" s="5" t="str">
        <f aca="false">IF(C128="","",IFERROR(INDEX(Summary!$B$2:$B$14,MATCH(C128,Summary!$A$2:$A$14,0)),"?"))</f>
        <v>Center Forward</v>
      </c>
      <c r="E128" s="5" t="str">
        <f aca="false">IF(C128="","",IFERROR(INDEX(Summary!$C$2:$C$14,MATCH(C128,Summary!$A$2:$A$14,0)),"?"))</f>
        <v>Attacco</v>
      </c>
      <c r="F128" s="6" t="n">
        <v>88</v>
      </c>
      <c r="H128" s="7" t="n">
        <f aca="false">IF(OR(B128="",F128=""),"",F128-ROW()/100000)</f>
        <v>87.99872</v>
      </c>
      <c r="I128" s="0" t="str">
        <f aca="false">IF(H128="","",C128&amp;"|"&amp;(COUNTIFS($C$2:$C$1000,C128,$H$2:$H$1000,"&gt;"&amp;H128)+1))</f>
        <v>CF|30</v>
      </c>
    </row>
    <row r="129" customFormat="false" ht="15" hidden="false" customHeight="false" outlineLevel="0" collapsed="false">
      <c r="A129" s="2" t="n">
        <f aca="false">IF(F129="","",COUNTIF($F$2:$F$1000,"&gt;"&amp;F129)+1)</f>
        <v>114</v>
      </c>
      <c r="B129" s="3" t="s">
        <v>147</v>
      </c>
      <c r="C129" s="4" t="s">
        <v>21</v>
      </c>
      <c r="D129" s="5" t="str">
        <f aca="false">IF(C129="","",IFERROR(INDEX(Summary!$B$2:$B$14,MATCH(C129,Summary!$A$2:$A$14,0)),"?"))</f>
        <v>Center Forward</v>
      </c>
      <c r="E129" s="5" t="str">
        <f aca="false">IF(C129="","",IFERROR(INDEX(Summary!$C$2:$C$14,MATCH(C129,Summary!$A$2:$A$14,0)),"?"))</f>
        <v>Attacco</v>
      </c>
      <c r="F129" s="6" t="n">
        <v>88</v>
      </c>
      <c r="H129" s="7" t="n">
        <f aca="false">IF(OR(B129="",F129=""),"",F129-ROW()/100000)</f>
        <v>87.99871</v>
      </c>
      <c r="I129" s="0" t="str">
        <f aca="false">IF(H129="","",C129&amp;"|"&amp;(COUNTIFS($C$2:$C$1000,C129,$H$2:$H$1000,"&gt;"&amp;H129)+1))</f>
        <v>CF|31</v>
      </c>
    </row>
    <row r="130" customFormat="false" ht="15" hidden="false" customHeight="false" outlineLevel="0" collapsed="false">
      <c r="A130" s="2" t="n">
        <f aca="false">IF(F130="","",COUNTIF($F$2:$F$1000,"&gt;"&amp;F130)+1)</f>
        <v>129</v>
      </c>
      <c r="B130" s="3" t="s">
        <v>148</v>
      </c>
      <c r="C130" s="4" t="s">
        <v>38</v>
      </c>
      <c r="D130" s="5" t="str">
        <f aca="false">IF(C130="","",IFERROR(INDEX(Summary!$B$2:$B$14,MATCH(C130,Summary!$A$2:$A$14,0)),"?"))</f>
        <v>Center Back</v>
      </c>
      <c r="E130" s="5" t="str">
        <f aca="false">IF(C130="","",IFERROR(INDEX(Summary!$C$2:$C$14,MATCH(C130,Summary!$A$2:$A$14,0)),"?"))</f>
        <v>Difensori</v>
      </c>
      <c r="F130" s="6" t="n">
        <v>87</v>
      </c>
      <c r="H130" s="7" t="n">
        <f aca="false">IF(OR(B130="",F130=""),"",F130-ROW()/100000)</f>
        <v>86.9987</v>
      </c>
      <c r="I130" s="0" t="str">
        <f aca="false">IF(H130="","",C130&amp;"|"&amp;(COUNTIFS($C$2:$C$1000,C130,$H$2:$H$1000,"&gt;"&amp;H130)+1))</f>
        <v>CB|17</v>
      </c>
    </row>
    <row r="131" customFormat="false" ht="15" hidden="false" customHeight="false" outlineLevel="0" collapsed="false">
      <c r="A131" s="2" t="n">
        <f aca="false">IF(F131="","",COUNTIF($F$2:$F$1000,"&gt;"&amp;F131)+1)</f>
        <v>129</v>
      </c>
      <c r="B131" s="3" t="s">
        <v>149</v>
      </c>
      <c r="C131" s="4" t="s">
        <v>23</v>
      </c>
      <c r="D131" s="5" t="str">
        <f aca="false">IF(C131="","",IFERROR(INDEX(Summary!$B$2:$B$14,MATCH(C131,Summary!$A$2:$A$14,0)),"?"))</f>
        <v>Left Back</v>
      </c>
      <c r="E131" s="5" t="str">
        <f aca="false">IF(C131="","",IFERROR(INDEX(Summary!$C$2:$C$14,MATCH(C131,Summary!$A$2:$A$14,0)),"?"))</f>
        <v>Difensori</v>
      </c>
      <c r="F131" s="6" t="n">
        <v>87</v>
      </c>
      <c r="H131" s="7" t="n">
        <f aca="false">IF(OR(B131="",F131=""),"",F131-ROW()/100000)</f>
        <v>86.99869</v>
      </c>
      <c r="I131" s="0" t="str">
        <f aca="false">IF(H131="","",C131&amp;"|"&amp;(COUNTIFS($C$2:$C$1000,C131,$H$2:$H$1000,"&gt;"&amp;H131)+1))</f>
        <v>LB|6</v>
      </c>
    </row>
    <row r="132" customFormat="false" ht="15" hidden="false" customHeight="false" outlineLevel="0" collapsed="false">
      <c r="A132" s="2" t="n">
        <f aca="false">IF(F132="","",COUNTIF($F$2:$F$1000,"&gt;"&amp;F132)+1)</f>
        <v>129</v>
      </c>
      <c r="B132" s="3" t="s">
        <v>150</v>
      </c>
      <c r="C132" s="4" t="s">
        <v>11</v>
      </c>
      <c r="D132" s="5" t="str">
        <f aca="false">IF(C132="","",IFERROR(INDEX(Summary!$B$2:$B$14,MATCH(C132,Summary!$A$2:$A$14,0)),"?"))</f>
        <v>Central Midfielder</v>
      </c>
      <c r="E132" s="5" t="str">
        <f aca="false">IF(C132="","",IFERROR(INDEX(Summary!$C$2:$C$14,MATCH(C132,Summary!$A$2:$A$14,0)),"?"))</f>
        <v>Centrocampo</v>
      </c>
      <c r="F132" s="6" t="n">
        <v>87</v>
      </c>
      <c r="H132" s="7" t="n">
        <f aca="false">IF(OR(B132="",F132=""),"",F132-ROW()/100000)</f>
        <v>86.99868</v>
      </c>
      <c r="I132" s="0" t="str">
        <f aca="false">IF(H132="","",C132&amp;"|"&amp;(COUNTIFS($C$2:$C$1000,C132,$H$2:$H$1000,"&gt;"&amp;H132)+1))</f>
        <v>CMF|11</v>
      </c>
    </row>
    <row r="133" customFormat="false" ht="15" hidden="false" customHeight="false" outlineLevel="0" collapsed="false">
      <c r="A133" s="2" t="n">
        <f aca="false">IF(F133="","",COUNTIF($F$2:$F$1000,"&gt;"&amp;F133)+1)</f>
        <v>129</v>
      </c>
      <c r="B133" s="3" t="s">
        <v>151</v>
      </c>
      <c r="C133" s="4" t="s">
        <v>11</v>
      </c>
      <c r="D133" s="5" t="str">
        <f aca="false">IF(C133="","",IFERROR(INDEX(Summary!$B$2:$B$14,MATCH(C133,Summary!$A$2:$A$14,0)),"?"))</f>
        <v>Central Midfielder</v>
      </c>
      <c r="E133" s="5" t="str">
        <f aca="false">IF(C133="","",IFERROR(INDEX(Summary!$C$2:$C$14,MATCH(C133,Summary!$A$2:$A$14,0)),"?"))</f>
        <v>Centrocampo</v>
      </c>
      <c r="F133" s="6" t="n">
        <v>87</v>
      </c>
      <c r="H133" s="7" t="n">
        <f aca="false">IF(OR(B133="",F133=""),"",F133-ROW()/100000)</f>
        <v>86.99867</v>
      </c>
      <c r="I133" s="0" t="str">
        <f aca="false">IF(H133="","",C133&amp;"|"&amp;(COUNTIFS($C$2:$C$1000,C133,$H$2:$H$1000,"&gt;"&amp;H133)+1))</f>
        <v>CMF|12</v>
      </c>
    </row>
    <row r="134" customFormat="false" ht="15" hidden="false" customHeight="false" outlineLevel="0" collapsed="false">
      <c r="A134" s="2" t="n">
        <f aca="false">IF(F134="","",COUNTIF($F$2:$F$1000,"&gt;"&amp;F134)+1)</f>
        <v>129</v>
      </c>
      <c r="B134" s="3" t="s">
        <v>152</v>
      </c>
      <c r="C134" s="4" t="s">
        <v>42</v>
      </c>
      <c r="D134" s="5" t="str">
        <f aca="false">IF(C134="","",IFERROR(INDEX(Summary!$B$2:$B$14,MATCH(C134,Summary!$A$2:$A$14,0)),"?"))</f>
        <v>Left Midfielder</v>
      </c>
      <c r="E134" s="5" t="str">
        <f aca="false">IF(C134="","",IFERROR(INDEX(Summary!$C$2:$C$14,MATCH(C134,Summary!$A$2:$A$14,0)),"?"))</f>
        <v>Centrocampo</v>
      </c>
      <c r="F134" s="6" t="n">
        <v>87</v>
      </c>
      <c r="H134" s="7" t="n">
        <f aca="false">IF(OR(B134="",F134=""),"",F134-ROW()/100000)</f>
        <v>86.99866</v>
      </c>
      <c r="I134" s="0" t="str">
        <f aca="false">IF(H134="","",C134&amp;"|"&amp;(COUNTIFS($C$2:$C$1000,C134,$H$2:$H$1000,"&gt;"&amp;H134)+1))</f>
        <v>LMF|8</v>
      </c>
    </row>
    <row r="135" customFormat="false" ht="15" hidden="false" customHeight="false" outlineLevel="0" collapsed="false">
      <c r="A135" s="2" t="n">
        <f aca="false">IF(F135="","",COUNTIF($F$2:$F$1000,"&gt;"&amp;F135)+1)</f>
        <v>129</v>
      </c>
      <c r="B135" s="3" t="s">
        <v>153</v>
      </c>
      <c r="C135" s="4" t="s">
        <v>28</v>
      </c>
      <c r="D135" s="5" t="str">
        <f aca="false">IF(C135="","",IFERROR(INDEX(Summary!$B$2:$B$14,MATCH(C135,Summary!$A$2:$A$14,0)),"?"))</f>
        <v>Right Midfielder</v>
      </c>
      <c r="E135" s="5" t="str">
        <f aca="false">IF(C135="","",IFERROR(INDEX(Summary!$C$2:$C$14,MATCH(C135,Summary!$A$2:$A$14,0)),"?"))</f>
        <v>Centrocampo</v>
      </c>
      <c r="F135" s="6" t="n">
        <v>87</v>
      </c>
      <c r="H135" s="7" t="n">
        <f aca="false">IF(OR(B135="",F135=""),"",F135-ROW()/100000)</f>
        <v>86.99865</v>
      </c>
      <c r="I135" s="0" t="str">
        <f aca="false">IF(H135="","",C135&amp;"|"&amp;(COUNTIFS($C$2:$C$1000,C135,$H$2:$H$1000,"&gt;"&amp;H135)+1))</f>
        <v>RMF|6</v>
      </c>
    </row>
    <row r="136" customFormat="false" ht="15" hidden="false" customHeight="false" outlineLevel="0" collapsed="false">
      <c r="A136" s="2" t="n">
        <f aca="false">IF(F136="","",COUNTIF($F$2:$F$1000,"&gt;"&amp;F136)+1)</f>
        <v>129</v>
      </c>
      <c r="B136" s="3" t="s">
        <v>154</v>
      </c>
      <c r="C136" s="4" t="s">
        <v>28</v>
      </c>
      <c r="D136" s="5" t="str">
        <f aca="false">IF(C136="","",IFERROR(INDEX(Summary!$B$2:$B$14,MATCH(C136,Summary!$A$2:$A$14,0)),"?"))</f>
        <v>Right Midfielder</v>
      </c>
      <c r="E136" s="5" t="str">
        <f aca="false">IF(C136="","",IFERROR(INDEX(Summary!$C$2:$C$14,MATCH(C136,Summary!$A$2:$A$14,0)),"?"))</f>
        <v>Centrocampo</v>
      </c>
      <c r="F136" s="6" t="n">
        <v>87</v>
      </c>
      <c r="H136" s="7" t="n">
        <f aca="false">IF(OR(B136="",F136=""),"",F136-ROW()/100000)</f>
        <v>86.99864</v>
      </c>
      <c r="I136" s="0" t="str">
        <f aca="false">IF(H136="","",C136&amp;"|"&amp;(COUNTIFS($C$2:$C$1000,C136,$H$2:$H$1000,"&gt;"&amp;H136)+1))</f>
        <v>RMF|7</v>
      </c>
    </row>
    <row r="137" customFormat="false" ht="15" hidden="false" customHeight="false" outlineLevel="0" collapsed="false">
      <c r="A137" s="2" t="n">
        <f aca="false">IF(F137="","",COUNTIF($F$2:$F$1000,"&gt;"&amp;F137)+1)</f>
        <v>129</v>
      </c>
      <c r="B137" s="3" t="s">
        <v>155</v>
      </c>
      <c r="C137" s="4" t="s">
        <v>31</v>
      </c>
      <c r="D137" s="5" t="str">
        <f aca="false">IF(C137="","",IFERROR(INDEX(Summary!$B$2:$B$14,MATCH(C137,Summary!$A$2:$A$14,0)),"?"))</f>
        <v>Attacking Midfielder</v>
      </c>
      <c r="E137" s="5" t="str">
        <f aca="false">IF(C137="","",IFERROR(INDEX(Summary!$C$2:$C$14,MATCH(C137,Summary!$A$2:$A$14,0)),"?"))</f>
        <v>Centrocampo</v>
      </c>
      <c r="F137" s="6" t="n">
        <v>87</v>
      </c>
      <c r="H137" s="7" t="n">
        <f aca="false">IF(OR(B137="",F137=""),"",F137-ROW()/100000)</f>
        <v>86.99863</v>
      </c>
      <c r="I137" s="0" t="str">
        <f aca="false">IF(H137="","",C137&amp;"|"&amp;(COUNTIFS($C$2:$C$1000,C137,$H$2:$H$1000,"&gt;"&amp;H137)+1))</f>
        <v>AMF|10</v>
      </c>
    </row>
    <row r="138" customFormat="false" ht="15" hidden="false" customHeight="false" outlineLevel="0" collapsed="false">
      <c r="A138" s="2" t="n">
        <f aca="false">IF(F138="","",COUNTIF($F$2:$F$1000,"&gt;"&amp;F138)+1)</f>
        <v>129</v>
      </c>
      <c r="B138" s="3" t="s">
        <v>156</v>
      </c>
      <c r="C138" s="4" t="s">
        <v>31</v>
      </c>
      <c r="D138" s="5" t="str">
        <f aca="false">IF(C138="","",IFERROR(INDEX(Summary!$B$2:$B$14,MATCH(C138,Summary!$A$2:$A$14,0)),"?"))</f>
        <v>Attacking Midfielder</v>
      </c>
      <c r="E138" s="5" t="str">
        <f aca="false">IF(C138="","",IFERROR(INDEX(Summary!$C$2:$C$14,MATCH(C138,Summary!$A$2:$A$14,0)),"?"))</f>
        <v>Centrocampo</v>
      </c>
      <c r="F138" s="6" t="n">
        <v>87</v>
      </c>
      <c r="H138" s="7" t="n">
        <f aca="false">IF(OR(B138="",F138=""),"",F138-ROW()/100000)</f>
        <v>86.99862</v>
      </c>
      <c r="I138" s="0" t="str">
        <f aca="false">IF(H138="","",C138&amp;"|"&amp;(COUNTIFS($C$2:$C$1000,C138,$H$2:$H$1000,"&gt;"&amp;H138)+1))</f>
        <v>AMF|11</v>
      </c>
    </row>
    <row r="139" customFormat="false" ht="15" hidden="false" customHeight="false" outlineLevel="0" collapsed="false">
      <c r="A139" s="2" t="n">
        <f aca="false">IF(F139="","",COUNTIF($F$2:$F$1000,"&gt;"&amp;F139)+1)</f>
        <v>129</v>
      </c>
      <c r="B139" s="3" t="s">
        <v>157</v>
      </c>
      <c r="C139" s="4" t="s">
        <v>31</v>
      </c>
      <c r="D139" s="5" t="str">
        <f aca="false">IF(C139="","",IFERROR(INDEX(Summary!$B$2:$B$14,MATCH(C139,Summary!$A$2:$A$14,0)),"?"))</f>
        <v>Attacking Midfielder</v>
      </c>
      <c r="E139" s="5" t="str">
        <f aca="false">IF(C139="","",IFERROR(INDEX(Summary!$C$2:$C$14,MATCH(C139,Summary!$A$2:$A$14,0)),"?"))</f>
        <v>Centrocampo</v>
      </c>
      <c r="F139" s="6" t="n">
        <v>87</v>
      </c>
      <c r="H139" s="7" t="n">
        <f aca="false">IF(OR(B139="",F139=""),"",F139-ROW()/100000)</f>
        <v>86.99861</v>
      </c>
      <c r="I139" s="0" t="str">
        <f aca="false">IF(H139="","",C139&amp;"|"&amp;(COUNTIFS($C$2:$C$1000,C139,$H$2:$H$1000,"&gt;"&amp;H139)+1))</f>
        <v>AMF|12</v>
      </c>
    </row>
    <row r="140" customFormat="false" ht="15" hidden="false" customHeight="false" outlineLevel="0" collapsed="false">
      <c r="A140" s="2" t="n">
        <f aca="false">IF(F140="","",COUNTIF($F$2:$F$1000,"&gt;"&amp;F140)+1)</f>
        <v>129</v>
      </c>
      <c r="B140" s="3" t="s">
        <v>158</v>
      </c>
      <c r="C140" s="4" t="s">
        <v>19</v>
      </c>
      <c r="D140" s="5" t="str">
        <f aca="false">IF(C140="","",IFERROR(INDEX(Summary!$B$2:$B$14,MATCH(C140,Summary!$A$2:$A$14,0)),"?"))</f>
        <v>Second Striker</v>
      </c>
      <c r="E140" s="5" t="str">
        <f aca="false">IF(C140="","",IFERROR(INDEX(Summary!$C$2:$C$14,MATCH(C140,Summary!$A$2:$A$14,0)),"?"))</f>
        <v>Attacco</v>
      </c>
      <c r="F140" s="6" t="n">
        <v>87</v>
      </c>
      <c r="H140" s="7" t="n">
        <f aca="false">IF(OR(B140="",F140=""),"",F140-ROW()/100000)</f>
        <v>86.9986</v>
      </c>
      <c r="I140" s="0" t="str">
        <f aca="false">IF(H140="","",C140&amp;"|"&amp;(COUNTIFS($C$2:$C$1000,C140,$H$2:$H$1000,"&gt;"&amp;H140)+1))</f>
        <v>SS|6</v>
      </c>
    </row>
    <row r="141" customFormat="false" ht="15" hidden="false" customHeight="false" outlineLevel="0" collapsed="false">
      <c r="A141" s="2" t="n">
        <f aca="false">IF(F141="","",COUNTIF($F$2:$F$1000,"&gt;"&amp;F141)+1)</f>
        <v>129</v>
      </c>
      <c r="B141" s="3" t="s">
        <v>159</v>
      </c>
      <c r="C141" s="4" t="s">
        <v>19</v>
      </c>
      <c r="D141" s="5" t="str">
        <f aca="false">IF(C141="","",IFERROR(INDEX(Summary!$B$2:$B$14,MATCH(C141,Summary!$A$2:$A$14,0)),"?"))</f>
        <v>Second Striker</v>
      </c>
      <c r="E141" s="5" t="str">
        <f aca="false">IF(C141="","",IFERROR(INDEX(Summary!$C$2:$C$14,MATCH(C141,Summary!$A$2:$A$14,0)),"?"))</f>
        <v>Attacco</v>
      </c>
      <c r="F141" s="6" t="n">
        <v>87</v>
      </c>
      <c r="H141" s="7" t="n">
        <f aca="false">IF(OR(B141="",F141=""),"",F141-ROW()/100000)</f>
        <v>86.99859</v>
      </c>
      <c r="I141" s="0" t="str">
        <f aca="false">IF(H141="","",C141&amp;"|"&amp;(COUNTIFS($C$2:$C$1000,C141,$H$2:$H$1000,"&gt;"&amp;H141)+1))</f>
        <v>SS|7</v>
      </c>
    </row>
    <row r="142" customFormat="false" ht="15" hidden="false" customHeight="false" outlineLevel="0" collapsed="false">
      <c r="A142" s="2" t="n">
        <f aca="false">IF(F142="","",COUNTIF($F$2:$F$1000,"&gt;"&amp;F142)+1)</f>
        <v>129</v>
      </c>
      <c r="B142" s="3" t="s">
        <v>160</v>
      </c>
      <c r="C142" s="4" t="s">
        <v>21</v>
      </c>
      <c r="D142" s="5" t="str">
        <f aca="false">IF(C142="","",IFERROR(INDEX(Summary!$B$2:$B$14,MATCH(C142,Summary!$A$2:$A$14,0)),"?"))</f>
        <v>Center Forward</v>
      </c>
      <c r="E142" s="5" t="str">
        <f aca="false">IF(C142="","",IFERROR(INDEX(Summary!$C$2:$C$14,MATCH(C142,Summary!$A$2:$A$14,0)),"?"))</f>
        <v>Attacco</v>
      </c>
      <c r="F142" s="6" t="n">
        <v>87</v>
      </c>
      <c r="H142" s="7" t="n">
        <f aca="false">IF(OR(B142="",F142=""),"",F142-ROW()/100000)</f>
        <v>86.99858</v>
      </c>
      <c r="I142" s="0" t="str">
        <f aca="false">IF(H142="","",C142&amp;"|"&amp;(COUNTIFS($C$2:$C$1000,C142,$H$2:$H$1000,"&gt;"&amp;H142)+1))</f>
        <v>CF|32</v>
      </c>
    </row>
    <row r="143" customFormat="false" ht="15" hidden="false" customHeight="false" outlineLevel="0" collapsed="false">
      <c r="A143" s="2" t="n">
        <f aca="false">IF(F143="","",COUNTIF($F$2:$F$1000,"&gt;"&amp;F143)+1)</f>
        <v>129</v>
      </c>
      <c r="B143" s="3" t="s">
        <v>161</v>
      </c>
      <c r="C143" s="4" t="s">
        <v>21</v>
      </c>
      <c r="D143" s="5" t="str">
        <f aca="false">IF(C143="","",IFERROR(INDEX(Summary!$B$2:$B$14,MATCH(C143,Summary!$A$2:$A$14,0)),"?"))</f>
        <v>Center Forward</v>
      </c>
      <c r="E143" s="5" t="str">
        <f aca="false">IF(C143="","",IFERROR(INDEX(Summary!$C$2:$C$14,MATCH(C143,Summary!$A$2:$A$14,0)),"?"))</f>
        <v>Attacco</v>
      </c>
      <c r="F143" s="6" t="n">
        <v>87</v>
      </c>
      <c r="H143" s="7" t="n">
        <f aca="false">IF(OR(B143="",F143=""),"",F143-ROW()/100000)</f>
        <v>86.99857</v>
      </c>
      <c r="I143" s="0" t="str">
        <f aca="false">IF(H143="","",C143&amp;"|"&amp;(COUNTIFS($C$2:$C$1000,C143,$H$2:$H$1000,"&gt;"&amp;H143)+1))</f>
        <v>CF|33</v>
      </c>
    </row>
    <row r="144" customFormat="false" ht="15" hidden="false" customHeight="false" outlineLevel="0" collapsed="false">
      <c r="A144" s="2" t="n">
        <f aca="false">IF(F144="","",COUNTIF($F$2:$F$1000,"&gt;"&amp;F144)+1)</f>
        <v>129</v>
      </c>
      <c r="B144" s="3" t="s">
        <v>162</v>
      </c>
      <c r="C144" s="4" t="s">
        <v>21</v>
      </c>
      <c r="D144" s="5" t="str">
        <f aca="false">IF(C144="","",IFERROR(INDEX(Summary!$B$2:$B$14,MATCH(C144,Summary!$A$2:$A$14,0)),"?"))</f>
        <v>Center Forward</v>
      </c>
      <c r="E144" s="5" t="str">
        <f aca="false">IF(C144="","",IFERROR(INDEX(Summary!$C$2:$C$14,MATCH(C144,Summary!$A$2:$A$14,0)),"?"))</f>
        <v>Attacco</v>
      </c>
      <c r="F144" s="6" t="n">
        <v>87</v>
      </c>
      <c r="H144" s="7" t="n">
        <f aca="false">IF(OR(B144="",F144=""),"",F144-ROW()/100000)</f>
        <v>86.99856</v>
      </c>
      <c r="I144" s="0" t="str">
        <f aca="false">IF(H144="","",C144&amp;"|"&amp;(COUNTIFS($C$2:$C$1000,C144,$H$2:$H$1000,"&gt;"&amp;H144)+1))</f>
        <v>CF|34</v>
      </c>
    </row>
    <row r="145" customFormat="false" ht="15" hidden="false" customHeight="false" outlineLevel="0" collapsed="false">
      <c r="A145" s="2" t="n">
        <f aca="false">IF(F145="","",COUNTIF($F$2:$F$1000,"&gt;"&amp;F145)+1)</f>
        <v>129</v>
      </c>
      <c r="B145" s="3" t="s">
        <v>163</v>
      </c>
      <c r="C145" s="4" t="s">
        <v>21</v>
      </c>
      <c r="D145" s="5" t="str">
        <f aca="false">IF(C145="","",IFERROR(INDEX(Summary!$B$2:$B$14,MATCH(C145,Summary!$A$2:$A$14,0)),"?"))</f>
        <v>Center Forward</v>
      </c>
      <c r="E145" s="5" t="str">
        <f aca="false">IF(C145="","",IFERROR(INDEX(Summary!$C$2:$C$14,MATCH(C145,Summary!$A$2:$A$14,0)),"?"))</f>
        <v>Attacco</v>
      </c>
      <c r="F145" s="6" t="n">
        <v>87</v>
      </c>
      <c r="H145" s="7" t="n">
        <f aca="false">IF(OR(B145="",F145=""),"",F145-ROW()/100000)</f>
        <v>86.99855</v>
      </c>
      <c r="I145" s="0" t="str">
        <f aca="false">IF(H145="","",C145&amp;"|"&amp;(COUNTIFS($C$2:$C$1000,C145,$H$2:$H$1000,"&gt;"&amp;H145)+1))</f>
        <v>CF|35</v>
      </c>
    </row>
    <row r="146" customFormat="false" ht="15" hidden="false" customHeight="false" outlineLevel="0" collapsed="false">
      <c r="A146" s="2" t="n">
        <f aca="false">IF(F146="","",COUNTIF($F$2:$F$1000,"&gt;"&amp;F146)+1)</f>
        <v>145</v>
      </c>
      <c r="B146" s="3" t="s">
        <v>164</v>
      </c>
      <c r="C146" s="4" t="s">
        <v>9</v>
      </c>
      <c r="D146" s="5" t="str">
        <f aca="false">IF(C146="","",IFERROR(INDEX(Summary!$B$2:$B$14,MATCH(C146,Summary!$A$2:$A$14,0)),"?"))</f>
        <v>Goalkeeper</v>
      </c>
      <c r="E146" s="5" t="str">
        <f aca="false">IF(C146="","",IFERROR(INDEX(Summary!$C$2:$C$14,MATCH(C146,Summary!$A$2:$A$14,0)),"?"))</f>
        <v>Portieri</v>
      </c>
      <c r="F146" s="6" t="n">
        <v>86</v>
      </c>
      <c r="H146" s="7" t="n">
        <f aca="false">IF(OR(B146="",F146=""),"",F146-ROW()/100000)</f>
        <v>85.99854</v>
      </c>
      <c r="I146" s="0" t="str">
        <f aca="false">IF(H146="","",C146&amp;"|"&amp;(COUNTIFS($C$2:$C$1000,C146,$H$2:$H$1000,"&gt;"&amp;H146)+1))</f>
        <v>GK|14</v>
      </c>
    </row>
    <row r="147" customFormat="false" ht="15" hidden="false" customHeight="false" outlineLevel="0" collapsed="false">
      <c r="A147" s="2" t="n">
        <f aca="false">IF(F147="","",COUNTIF($F$2:$F$1000,"&gt;"&amp;F147)+1)</f>
        <v>145</v>
      </c>
      <c r="B147" s="3" t="s">
        <v>165</v>
      </c>
      <c r="C147" s="4" t="s">
        <v>9</v>
      </c>
      <c r="D147" s="5" t="str">
        <f aca="false">IF(C147="","",IFERROR(INDEX(Summary!$B$2:$B$14,MATCH(C147,Summary!$A$2:$A$14,0)),"?"))</f>
        <v>Goalkeeper</v>
      </c>
      <c r="E147" s="5" t="str">
        <f aca="false">IF(C147="","",IFERROR(INDEX(Summary!$C$2:$C$14,MATCH(C147,Summary!$A$2:$A$14,0)),"?"))</f>
        <v>Portieri</v>
      </c>
      <c r="F147" s="6" t="n">
        <v>86</v>
      </c>
      <c r="H147" s="7" t="n">
        <f aca="false">IF(OR(B147="",F147=""),"",F147-ROW()/100000)</f>
        <v>85.99853</v>
      </c>
      <c r="I147" s="0" t="str">
        <f aca="false">IF(H147="","",C147&amp;"|"&amp;(COUNTIFS($C$2:$C$1000,C147,$H$2:$H$1000,"&gt;"&amp;H147)+1))</f>
        <v>GK|15</v>
      </c>
    </row>
    <row r="148" customFormat="false" ht="15" hidden="false" customHeight="false" outlineLevel="0" collapsed="false">
      <c r="A148" s="2" t="n">
        <f aca="false">IF(F148="","",COUNTIF($F$2:$F$1000,"&gt;"&amp;F148)+1)</f>
        <v>145</v>
      </c>
      <c r="B148" s="3" t="s">
        <v>166</v>
      </c>
      <c r="C148" s="4" t="s">
        <v>38</v>
      </c>
      <c r="D148" s="5" t="str">
        <f aca="false">IF(C148="","",IFERROR(INDEX(Summary!$B$2:$B$14,MATCH(C148,Summary!$A$2:$A$14,0)),"?"))</f>
        <v>Center Back</v>
      </c>
      <c r="E148" s="5" t="str">
        <f aca="false">IF(C148="","",IFERROR(INDEX(Summary!$C$2:$C$14,MATCH(C148,Summary!$A$2:$A$14,0)),"?"))</f>
        <v>Difensori</v>
      </c>
      <c r="F148" s="6" t="n">
        <v>86</v>
      </c>
      <c r="H148" s="7" t="n">
        <f aca="false">IF(OR(B148="",F148=""),"",F148-ROW()/100000)</f>
        <v>85.99852</v>
      </c>
      <c r="I148" s="0" t="str">
        <f aca="false">IF(H148="","",C148&amp;"|"&amp;(COUNTIFS($C$2:$C$1000,C148,$H$2:$H$1000,"&gt;"&amp;H148)+1))</f>
        <v>CB|18</v>
      </c>
    </row>
    <row r="149" customFormat="false" ht="15" hidden="false" customHeight="false" outlineLevel="0" collapsed="false">
      <c r="A149" s="2" t="n">
        <f aca="false">IF(F149="","",COUNTIF($F$2:$F$1000,"&gt;"&amp;F149)+1)</f>
        <v>145</v>
      </c>
      <c r="B149" s="3" t="s">
        <v>167</v>
      </c>
      <c r="C149" s="4" t="s">
        <v>38</v>
      </c>
      <c r="D149" s="5" t="str">
        <f aca="false">IF(C149="","",IFERROR(INDEX(Summary!$B$2:$B$14,MATCH(C149,Summary!$A$2:$A$14,0)),"?"))</f>
        <v>Center Back</v>
      </c>
      <c r="E149" s="5" t="str">
        <f aca="false">IF(C149="","",IFERROR(INDEX(Summary!$C$2:$C$14,MATCH(C149,Summary!$A$2:$A$14,0)),"?"))</f>
        <v>Difensori</v>
      </c>
      <c r="F149" s="6" t="n">
        <v>86</v>
      </c>
      <c r="H149" s="7" t="n">
        <f aca="false">IF(OR(B149="",F149=""),"",F149-ROW()/100000)</f>
        <v>85.99851</v>
      </c>
      <c r="I149" s="0" t="str">
        <f aca="false">IF(H149="","",C149&amp;"|"&amp;(COUNTIFS($C$2:$C$1000,C149,$H$2:$H$1000,"&gt;"&amp;H149)+1))</f>
        <v>CB|19</v>
      </c>
    </row>
    <row r="150" customFormat="false" ht="15" hidden="false" customHeight="false" outlineLevel="0" collapsed="false">
      <c r="A150" s="2" t="n">
        <f aca="false">IF(F150="","",COUNTIF($F$2:$F$1000,"&gt;"&amp;F150)+1)</f>
        <v>145</v>
      </c>
      <c r="B150" s="3" t="s">
        <v>168</v>
      </c>
      <c r="C150" s="4" t="s">
        <v>38</v>
      </c>
      <c r="D150" s="5" t="str">
        <f aca="false">IF(C150="","",IFERROR(INDEX(Summary!$B$2:$B$14,MATCH(C150,Summary!$A$2:$A$14,0)),"?"))</f>
        <v>Center Back</v>
      </c>
      <c r="E150" s="5" t="str">
        <f aca="false">IF(C150="","",IFERROR(INDEX(Summary!$C$2:$C$14,MATCH(C150,Summary!$A$2:$A$14,0)),"?"))</f>
        <v>Difensori</v>
      </c>
      <c r="F150" s="6" t="n">
        <v>86</v>
      </c>
      <c r="H150" s="7" t="n">
        <f aca="false">IF(OR(B150="",F150=""),"",F150-ROW()/100000)</f>
        <v>85.9985</v>
      </c>
      <c r="I150" s="0" t="str">
        <f aca="false">IF(H150="","",C150&amp;"|"&amp;(COUNTIFS($C$2:$C$1000,C150,$H$2:$H$1000,"&gt;"&amp;H150)+1))</f>
        <v>CB|20</v>
      </c>
    </row>
    <row r="151" customFormat="false" ht="15" hidden="false" customHeight="false" outlineLevel="0" collapsed="false">
      <c r="A151" s="2" t="n">
        <f aca="false">IF(F151="","",COUNTIF($F$2:$F$1000,"&gt;"&amp;F151)+1)</f>
        <v>145</v>
      </c>
      <c r="B151" s="3" t="s">
        <v>169</v>
      </c>
      <c r="C151" s="4" t="s">
        <v>38</v>
      </c>
      <c r="D151" s="5" t="str">
        <f aca="false">IF(C151="","",IFERROR(INDEX(Summary!$B$2:$B$14,MATCH(C151,Summary!$A$2:$A$14,0)),"?"))</f>
        <v>Center Back</v>
      </c>
      <c r="E151" s="5" t="str">
        <f aca="false">IF(C151="","",IFERROR(INDEX(Summary!$C$2:$C$14,MATCH(C151,Summary!$A$2:$A$14,0)),"?"))</f>
        <v>Difensori</v>
      </c>
      <c r="F151" s="6" t="n">
        <v>86</v>
      </c>
      <c r="H151" s="7" t="n">
        <f aca="false">IF(OR(B151="",F151=""),"",F151-ROW()/100000)</f>
        <v>85.99849</v>
      </c>
      <c r="I151" s="0" t="str">
        <f aca="false">IF(H151="","",C151&amp;"|"&amp;(COUNTIFS($C$2:$C$1000,C151,$H$2:$H$1000,"&gt;"&amp;H151)+1))</f>
        <v>CB|21</v>
      </c>
    </row>
    <row r="152" customFormat="false" ht="15" hidden="false" customHeight="false" outlineLevel="0" collapsed="false">
      <c r="A152" s="2" t="n">
        <f aca="false">IF(F152="","",COUNTIF($F$2:$F$1000,"&gt;"&amp;F152)+1)</f>
        <v>145</v>
      </c>
      <c r="B152" s="3" t="s">
        <v>170</v>
      </c>
      <c r="C152" s="4" t="s">
        <v>38</v>
      </c>
      <c r="D152" s="5" t="str">
        <f aca="false">IF(C152="","",IFERROR(INDEX(Summary!$B$2:$B$14,MATCH(C152,Summary!$A$2:$A$14,0)),"?"))</f>
        <v>Center Back</v>
      </c>
      <c r="E152" s="5" t="str">
        <f aca="false">IF(C152="","",IFERROR(INDEX(Summary!$C$2:$C$14,MATCH(C152,Summary!$A$2:$A$14,0)),"?"))</f>
        <v>Difensori</v>
      </c>
      <c r="F152" s="6" t="n">
        <v>86</v>
      </c>
      <c r="H152" s="7" t="n">
        <f aca="false">IF(OR(B152="",F152=""),"",F152-ROW()/100000)</f>
        <v>85.99848</v>
      </c>
      <c r="I152" s="0" t="str">
        <f aca="false">IF(H152="","",C152&amp;"|"&amp;(COUNTIFS($C$2:$C$1000,C152,$H$2:$H$1000,"&gt;"&amp;H152)+1))</f>
        <v>CB|22</v>
      </c>
    </row>
    <row r="153" customFormat="false" ht="15" hidden="false" customHeight="false" outlineLevel="0" collapsed="false">
      <c r="A153" s="2" t="n">
        <f aca="false">IF(F153="","",COUNTIF($F$2:$F$1000,"&gt;"&amp;F153)+1)</f>
        <v>145</v>
      </c>
      <c r="B153" s="3" t="s">
        <v>171</v>
      </c>
      <c r="C153" s="4" t="s">
        <v>38</v>
      </c>
      <c r="D153" s="5" t="str">
        <f aca="false">IF(C153="","",IFERROR(INDEX(Summary!$B$2:$B$14,MATCH(C153,Summary!$A$2:$A$14,0)),"?"))</f>
        <v>Center Back</v>
      </c>
      <c r="E153" s="5" t="str">
        <f aca="false">IF(C153="","",IFERROR(INDEX(Summary!$C$2:$C$14,MATCH(C153,Summary!$A$2:$A$14,0)),"?"))</f>
        <v>Difensori</v>
      </c>
      <c r="F153" s="6" t="n">
        <v>86</v>
      </c>
      <c r="H153" s="7" t="n">
        <f aca="false">IF(OR(B153="",F153=""),"",F153-ROW()/100000)</f>
        <v>85.99847</v>
      </c>
      <c r="I153" s="0" t="str">
        <f aca="false">IF(H153="","",C153&amp;"|"&amp;(COUNTIFS($C$2:$C$1000,C153,$H$2:$H$1000,"&gt;"&amp;H153)+1))</f>
        <v>CB|23</v>
      </c>
    </row>
    <row r="154" customFormat="false" ht="15" hidden="false" customHeight="false" outlineLevel="0" collapsed="false">
      <c r="A154" s="2" t="n">
        <f aca="false">IF(F154="","",COUNTIF($F$2:$F$1000,"&gt;"&amp;F154)+1)</f>
        <v>145</v>
      </c>
      <c r="B154" s="3" t="s">
        <v>172</v>
      </c>
      <c r="C154" s="4" t="s">
        <v>38</v>
      </c>
      <c r="D154" s="5" t="str">
        <f aca="false">IF(C154="","",IFERROR(INDEX(Summary!$B$2:$B$14,MATCH(C154,Summary!$A$2:$A$14,0)),"?"))</f>
        <v>Center Back</v>
      </c>
      <c r="E154" s="5" t="str">
        <f aca="false">IF(C154="","",IFERROR(INDEX(Summary!$C$2:$C$14,MATCH(C154,Summary!$A$2:$A$14,0)),"?"))</f>
        <v>Difensori</v>
      </c>
      <c r="F154" s="6" t="n">
        <v>86</v>
      </c>
      <c r="H154" s="7" t="n">
        <f aca="false">IF(OR(B154="",F154=""),"",F154-ROW()/100000)</f>
        <v>85.99846</v>
      </c>
      <c r="I154" s="0" t="str">
        <f aca="false">IF(H154="","",C154&amp;"|"&amp;(COUNTIFS($C$2:$C$1000,C154,$H$2:$H$1000,"&gt;"&amp;H154)+1))</f>
        <v>CB|24</v>
      </c>
    </row>
    <row r="155" customFormat="false" ht="15" hidden="false" customHeight="false" outlineLevel="0" collapsed="false">
      <c r="A155" s="2" t="n">
        <f aca="false">IF(F155="","",COUNTIF($F$2:$F$1000,"&gt;"&amp;F155)+1)</f>
        <v>145</v>
      </c>
      <c r="B155" s="3" t="s">
        <v>173</v>
      </c>
      <c r="C155" s="4" t="s">
        <v>38</v>
      </c>
      <c r="D155" s="5" t="str">
        <f aca="false">IF(C155="","",IFERROR(INDEX(Summary!$B$2:$B$14,MATCH(C155,Summary!$A$2:$A$14,0)),"?"))</f>
        <v>Center Back</v>
      </c>
      <c r="E155" s="5" t="str">
        <f aca="false">IF(C155="","",IFERROR(INDEX(Summary!$C$2:$C$14,MATCH(C155,Summary!$A$2:$A$14,0)),"?"))</f>
        <v>Difensori</v>
      </c>
      <c r="F155" s="6" t="n">
        <v>86</v>
      </c>
      <c r="H155" s="7" t="n">
        <f aca="false">IF(OR(B155="",F155=""),"",F155-ROW()/100000)</f>
        <v>85.99845</v>
      </c>
      <c r="I155" s="0" t="str">
        <f aca="false">IF(H155="","",C155&amp;"|"&amp;(COUNTIFS($C$2:$C$1000,C155,$H$2:$H$1000,"&gt;"&amp;H155)+1))</f>
        <v>CB|25</v>
      </c>
    </row>
    <row r="156" customFormat="false" ht="15" hidden="false" customHeight="false" outlineLevel="0" collapsed="false">
      <c r="A156" s="2" t="n">
        <f aca="false">IF(F156="","",COUNTIF($F$2:$F$1000,"&gt;"&amp;F156)+1)</f>
        <v>145</v>
      </c>
      <c r="B156" s="3" t="s">
        <v>174</v>
      </c>
      <c r="C156" s="4" t="s">
        <v>38</v>
      </c>
      <c r="D156" s="5" t="str">
        <f aca="false">IF(C156="","",IFERROR(INDEX(Summary!$B$2:$B$14,MATCH(C156,Summary!$A$2:$A$14,0)),"?"))</f>
        <v>Center Back</v>
      </c>
      <c r="E156" s="5" t="str">
        <f aca="false">IF(C156="","",IFERROR(INDEX(Summary!$C$2:$C$14,MATCH(C156,Summary!$A$2:$A$14,0)),"?"))</f>
        <v>Difensori</v>
      </c>
      <c r="F156" s="6" t="n">
        <v>86</v>
      </c>
      <c r="H156" s="7" t="n">
        <f aca="false">IF(OR(B156="",F156=""),"",F156-ROW()/100000)</f>
        <v>85.99844</v>
      </c>
      <c r="I156" s="0" t="str">
        <f aca="false">IF(H156="","",C156&amp;"|"&amp;(COUNTIFS($C$2:$C$1000,C156,$H$2:$H$1000,"&gt;"&amp;H156)+1))</f>
        <v>CB|26</v>
      </c>
    </row>
    <row r="157" customFormat="false" ht="15" hidden="false" customHeight="false" outlineLevel="0" collapsed="false">
      <c r="A157" s="2" t="n">
        <f aca="false">IF(F157="","",COUNTIF($F$2:$F$1000,"&gt;"&amp;F157)+1)</f>
        <v>145</v>
      </c>
      <c r="B157" s="3" t="s">
        <v>175</v>
      </c>
      <c r="C157" s="4" t="s">
        <v>38</v>
      </c>
      <c r="D157" s="5" t="str">
        <f aca="false">IF(C157="","",IFERROR(INDEX(Summary!$B$2:$B$14,MATCH(C157,Summary!$A$2:$A$14,0)),"?"))</f>
        <v>Center Back</v>
      </c>
      <c r="E157" s="5" t="str">
        <f aca="false">IF(C157="","",IFERROR(INDEX(Summary!$C$2:$C$14,MATCH(C157,Summary!$A$2:$A$14,0)),"?"))</f>
        <v>Difensori</v>
      </c>
      <c r="F157" s="6" t="n">
        <v>86</v>
      </c>
      <c r="H157" s="7" t="n">
        <f aca="false">IF(OR(B157="",F157=""),"",F157-ROW()/100000)</f>
        <v>85.99843</v>
      </c>
      <c r="I157" s="0" t="str">
        <f aca="false">IF(H157="","",C157&amp;"|"&amp;(COUNTIFS($C$2:$C$1000,C157,$H$2:$H$1000,"&gt;"&amp;H157)+1))</f>
        <v>CB|27</v>
      </c>
    </row>
    <row r="158" customFormat="false" ht="15" hidden="false" customHeight="false" outlineLevel="0" collapsed="false">
      <c r="A158" s="2" t="n">
        <f aca="false">IF(F158="","",COUNTIF($F$2:$F$1000,"&gt;"&amp;F158)+1)</f>
        <v>145</v>
      </c>
      <c r="B158" s="3" t="s">
        <v>176</v>
      </c>
      <c r="C158" s="4" t="s">
        <v>61</v>
      </c>
      <c r="D158" s="5" t="str">
        <f aca="false">IF(C158="","",IFERROR(INDEX(Summary!$B$2:$B$14,MATCH(C158,Summary!$A$2:$A$14,0)),"?"))</f>
        <v>Right Back</v>
      </c>
      <c r="E158" s="5" t="str">
        <f aca="false">IF(C158="","",IFERROR(INDEX(Summary!$C$2:$C$14,MATCH(C158,Summary!$A$2:$A$14,0)),"?"))</f>
        <v>Difensori</v>
      </c>
      <c r="F158" s="6" t="n">
        <v>86</v>
      </c>
      <c r="H158" s="7" t="n">
        <f aca="false">IF(OR(B158="",F158=""),"",F158-ROW()/100000)</f>
        <v>85.99842</v>
      </c>
      <c r="I158" s="0" t="str">
        <f aca="false">IF(H158="","",C158&amp;"|"&amp;(COUNTIFS($C$2:$C$1000,C158,$H$2:$H$1000,"&gt;"&amp;H158)+1))</f>
        <v>RB|9</v>
      </c>
    </row>
    <row r="159" customFormat="false" ht="15" hidden="false" customHeight="false" outlineLevel="0" collapsed="false">
      <c r="A159" s="2" t="n">
        <f aca="false">IF(F159="","",COUNTIF($F$2:$F$1000,"&gt;"&amp;F159)+1)</f>
        <v>145</v>
      </c>
      <c r="B159" s="3" t="s">
        <v>177</v>
      </c>
      <c r="C159" s="4" t="s">
        <v>51</v>
      </c>
      <c r="D159" s="5" t="str">
        <f aca="false">IF(C159="","",IFERROR(INDEX(Summary!$B$2:$B$14,MATCH(C159,Summary!$A$2:$A$14,0)),"?"))</f>
        <v>Defensive Midfielder</v>
      </c>
      <c r="E159" s="5" t="str">
        <f aca="false">IF(C159="","",IFERROR(INDEX(Summary!$C$2:$C$14,MATCH(C159,Summary!$A$2:$A$14,0)),"?"))</f>
        <v>Centrocampo</v>
      </c>
      <c r="F159" s="6" t="n">
        <v>86</v>
      </c>
      <c r="H159" s="7" t="n">
        <f aca="false">IF(OR(B159="",F159=""),"",F159-ROW()/100000)</f>
        <v>85.99841</v>
      </c>
      <c r="I159" s="0" t="str">
        <f aca="false">IF(H159="","",C159&amp;"|"&amp;(COUNTIFS($C$2:$C$1000,C159,$H$2:$H$1000,"&gt;"&amp;H159)+1))</f>
        <v>DMF|14</v>
      </c>
    </row>
    <row r="160" customFormat="false" ht="15" hidden="false" customHeight="false" outlineLevel="0" collapsed="false">
      <c r="A160" s="2" t="n">
        <f aca="false">IF(F160="","",COUNTIF($F$2:$F$1000,"&gt;"&amp;F160)+1)</f>
        <v>145</v>
      </c>
      <c r="B160" s="3" t="s">
        <v>178</v>
      </c>
      <c r="C160" s="4" t="s">
        <v>51</v>
      </c>
      <c r="D160" s="5" t="str">
        <f aca="false">IF(C160="","",IFERROR(INDEX(Summary!$B$2:$B$14,MATCH(C160,Summary!$A$2:$A$14,0)),"?"))</f>
        <v>Defensive Midfielder</v>
      </c>
      <c r="E160" s="5" t="str">
        <f aca="false">IF(C160="","",IFERROR(INDEX(Summary!$C$2:$C$14,MATCH(C160,Summary!$A$2:$A$14,0)),"?"))</f>
        <v>Centrocampo</v>
      </c>
      <c r="F160" s="6" t="n">
        <v>86</v>
      </c>
      <c r="H160" s="7" t="n">
        <f aca="false">IF(OR(B160="",F160=""),"",F160-ROW()/100000)</f>
        <v>85.9984</v>
      </c>
      <c r="I160" s="0" t="str">
        <f aca="false">IF(H160="","",C160&amp;"|"&amp;(COUNTIFS($C$2:$C$1000,C160,$H$2:$H$1000,"&gt;"&amp;H160)+1))</f>
        <v>DMF|15</v>
      </c>
    </row>
    <row r="161" customFormat="false" ht="15" hidden="false" customHeight="false" outlineLevel="0" collapsed="false">
      <c r="A161" s="2" t="n">
        <f aca="false">IF(F161="","",COUNTIF($F$2:$F$1000,"&gt;"&amp;F161)+1)</f>
        <v>145</v>
      </c>
      <c r="B161" s="3" t="s">
        <v>179</v>
      </c>
      <c r="C161" s="4" t="s">
        <v>11</v>
      </c>
      <c r="D161" s="5" t="str">
        <f aca="false">IF(C161="","",IFERROR(INDEX(Summary!$B$2:$B$14,MATCH(C161,Summary!$A$2:$A$14,0)),"?"))</f>
        <v>Central Midfielder</v>
      </c>
      <c r="E161" s="5" t="str">
        <f aca="false">IF(C161="","",IFERROR(INDEX(Summary!$C$2:$C$14,MATCH(C161,Summary!$A$2:$A$14,0)),"?"))</f>
        <v>Centrocampo</v>
      </c>
      <c r="F161" s="6" t="n">
        <v>86</v>
      </c>
      <c r="H161" s="7" t="n">
        <f aca="false">IF(OR(B161="",F161=""),"",F161-ROW()/100000)</f>
        <v>85.99839</v>
      </c>
      <c r="I161" s="0" t="str">
        <f aca="false">IF(H161="","",C161&amp;"|"&amp;(COUNTIFS($C$2:$C$1000,C161,$H$2:$H$1000,"&gt;"&amp;H161)+1))</f>
        <v>CMF|13</v>
      </c>
    </row>
    <row r="162" customFormat="false" ht="15" hidden="false" customHeight="false" outlineLevel="0" collapsed="false">
      <c r="A162" s="2" t="n">
        <f aca="false">IF(F162="","",COUNTIF($F$2:$F$1000,"&gt;"&amp;F162)+1)</f>
        <v>145</v>
      </c>
      <c r="B162" s="3" t="s">
        <v>180</v>
      </c>
      <c r="C162" s="4" t="s">
        <v>11</v>
      </c>
      <c r="D162" s="5" t="str">
        <f aca="false">IF(C162="","",IFERROR(INDEX(Summary!$B$2:$B$14,MATCH(C162,Summary!$A$2:$A$14,0)),"?"))</f>
        <v>Central Midfielder</v>
      </c>
      <c r="E162" s="5" t="str">
        <f aca="false">IF(C162="","",IFERROR(INDEX(Summary!$C$2:$C$14,MATCH(C162,Summary!$A$2:$A$14,0)),"?"))</f>
        <v>Centrocampo</v>
      </c>
      <c r="F162" s="6" t="n">
        <v>86</v>
      </c>
      <c r="H162" s="7" t="n">
        <f aca="false">IF(OR(B162="",F162=""),"",F162-ROW()/100000)</f>
        <v>85.99838</v>
      </c>
      <c r="I162" s="0" t="str">
        <f aca="false">IF(H162="","",C162&amp;"|"&amp;(COUNTIFS($C$2:$C$1000,C162,$H$2:$H$1000,"&gt;"&amp;H162)+1))</f>
        <v>CMF|14</v>
      </c>
    </row>
    <row r="163" customFormat="false" ht="15" hidden="false" customHeight="false" outlineLevel="0" collapsed="false">
      <c r="A163" s="2" t="n">
        <f aca="false">IF(F163="","",COUNTIF($F$2:$F$1000,"&gt;"&amp;F163)+1)</f>
        <v>145</v>
      </c>
      <c r="B163" s="3" t="s">
        <v>181</v>
      </c>
      <c r="C163" s="4" t="s">
        <v>42</v>
      </c>
      <c r="D163" s="5" t="str">
        <f aca="false">IF(C163="","",IFERROR(INDEX(Summary!$B$2:$B$14,MATCH(C163,Summary!$A$2:$A$14,0)),"?"))</f>
        <v>Left Midfielder</v>
      </c>
      <c r="E163" s="5" t="str">
        <f aca="false">IF(C163="","",IFERROR(INDEX(Summary!$C$2:$C$14,MATCH(C163,Summary!$A$2:$A$14,0)),"?"))</f>
        <v>Centrocampo</v>
      </c>
      <c r="F163" s="6" t="n">
        <v>86</v>
      </c>
      <c r="H163" s="7" t="n">
        <f aca="false">IF(OR(B163="",F163=""),"",F163-ROW()/100000)</f>
        <v>85.99837</v>
      </c>
      <c r="I163" s="0" t="str">
        <f aca="false">IF(H163="","",C163&amp;"|"&amp;(COUNTIFS($C$2:$C$1000,C163,$H$2:$H$1000,"&gt;"&amp;H163)+1))</f>
        <v>LMF|9</v>
      </c>
    </row>
    <row r="164" customFormat="false" ht="15" hidden="false" customHeight="false" outlineLevel="0" collapsed="false">
      <c r="A164" s="2" t="n">
        <f aca="false">IF(F164="","",COUNTIF($F$2:$F$1000,"&gt;"&amp;F164)+1)</f>
        <v>145</v>
      </c>
      <c r="B164" s="3" t="s">
        <v>182</v>
      </c>
      <c r="C164" s="4" t="s">
        <v>42</v>
      </c>
      <c r="D164" s="5" t="str">
        <f aca="false">IF(C164="","",IFERROR(INDEX(Summary!$B$2:$B$14,MATCH(C164,Summary!$A$2:$A$14,0)),"?"))</f>
        <v>Left Midfielder</v>
      </c>
      <c r="E164" s="5" t="str">
        <f aca="false">IF(C164="","",IFERROR(INDEX(Summary!$C$2:$C$14,MATCH(C164,Summary!$A$2:$A$14,0)),"?"))</f>
        <v>Centrocampo</v>
      </c>
      <c r="F164" s="6" t="n">
        <v>86</v>
      </c>
      <c r="H164" s="7" t="n">
        <f aca="false">IF(OR(B164="",F164=""),"",F164-ROW()/100000)</f>
        <v>85.99836</v>
      </c>
      <c r="I164" s="0" t="str">
        <f aca="false">IF(H164="","",C164&amp;"|"&amp;(COUNTIFS($C$2:$C$1000,C164,$H$2:$H$1000,"&gt;"&amp;H164)+1))</f>
        <v>LMF|10</v>
      </c>
    </row>
    <row r="165" customFormat="false" ht="15" hidden="false" customHeight="false" outlineLevel="0" collapsed="false">
      <c r="A165" s="2" t="n">
        <f aca="false">IF(F165="","",COUNTIF($F$2:$F$1000,"&gt;"&amp;F165)+1)</f>
        <v>145</v>
      </c>
      <c r="B165" s="3" t="s">
        <v>183</v>
      </c>
      <c r="C165" s="4" t="s">
        <v>28</v>
      </c>
      <c r="D165" s="5" t="str">
        <f aca="false">IF(C165="","",IFERROR(INDEX(Summary!$B$2:$B$14,MATCH(C165,Summary!$A$2:$A$14,0)),"?"))</f>
        <v>Right Midfielder</v>
      </c>
      <c r="E165" s="5" t="str">
        <f aca="false">IF(C165="","",IFERROR(INDEX(Summary!$C$2:$C$14,MATCH(C165,Summary!$A$2:$A$14,0)),"?"))</f>
        <v>Centrocampo</v>
      </c>
      <c r="F165" s="6" t="n">
        <v>86</v>
      </c>
      <c r="H165" s="7" t="n">
        <f aca="false">IF(OR(B165="",F165=""),"",F165-ROW()/100000)</f>
        <v>85.99835</v>
      </c>
      <c r="I165" s="0" t="str">
        <f aca="false">IF(H165="","",C165&amp;"|"&amp;(COUNTIFS($C$2:$C$1000,C165,$H$2:$H$1000,"&gt;"&amp;H165)+1))</f>
        <v>RMF|8</v>
      </c>
    </row>
    <row r="166" customFormat="false" ht="15" hidden="false" customHeight="false" outlineLevel="0" collapsed="false">
      <c r="A166" s="2" t="n">
        <f aca="false">IF(F166="","",COUNTIF($F$2:$F$1000,"&gt;"&amp;F166)+1)</f>
        <v>145</v>
      </c>
      <c r="B166" s="3" t="s">
        <v>184</v>
      </c>
      <c r="C166" s="4" t="s">
        <v>28</v>
      </c>
      <c r="D166" s="5" t="str">
        <f aca="false">IF(C166="","",IFERROR(INDEX(Summary!$B$2:$B$14,MATCH(C166,Summary!$A$2:$A$14,0)),"?"))</f>
        <v>Right Midfielder</v>
      </c>
      <c r="E166" s="5" t="str">
        <f aca="false">IF(C166="","",IFERROR(INDEX(Summary!$C$2:$C$14,MATCH(C166,Summary!$A$2:$A$14,0)),"?"))</f>
        <v>Centrocampo</v>
      </c>
      <c r="F166" s="6" t="n">
        <v>86</v>
      </c>
      <c r="H166" s="7" t="n">
        <f aca="false">IF(OR(B166="",F166=""),"",F166-ROW()/100000)</f>
        <v>85.99834</v>
      </c>
      <c r="I166" s="0" t="str">
        <f aca="false">IF(H166="","",C166&amp;"|"&amp;(COUNTIFS($C$2:$C$1000,C166,$H$2:$H$1000,"&gt;"&amp;H166)+1))</f>
        <v>RMF|9</v>
      </c>
    </row>
    <row r="167" customFormat="false" ht="15" hidden="false" customHeight="false" outlineLevel="0" collapsed="false">
      <c r="A167" s="2" t="n">
        <f aca="false">IF(F167="","",COUNTIF($F$2:$F$1000,"&gt;"&amp;F167)+1)</f>
        <v>145</v>
      </c>
      <c r="B167" s="3" t="s">
        <v>185</v>
      </c>
      <c r="C167" s="4" t="s">
        <v>31</v>
      </c>
      <c r="D167" s="5" t="str">
        <f aca="false">IF(C167="","",IFERROR(INDEX(Summary!$B$2:$B$14,MATCH(C167,Summary!$A$2:$A$14,0)),"?"))</f>
        <v>Attacking Midfielder</v>
      </c>
      <c r="E167" s="5" t="str">
        <f aca="false">IF(C167="","",IFERROR(INDEX(Summary!$C$2:$C$14,MATCH(C167,Summary!$A$2:$A$14,0)),"?"))</f>
        <v>Centrocampo</v>
      </c>
      <c r="F167" s="6" t="n">
        <v>86</v>
      </c>
      <c r="H167" s="7" t="n">
        <f aca="false">IF(OR(B167="",F167=""),"",F167-ROW()/100000)</f>
        <v>85.99833</v>
      </c>
      <c r="I167" s="0" t="str">
        <f aca="false">IF(H167="","",C167&amp;"|"&amp;(COUNTIFS($C$2:$C$1000,C167,$H$2:$H$1000,"&gt;"&amp;H167)+1))</f>
        <v>AMF|13</v>
      </c>
    </row>
    <row r="168" customFormat="false" ht="15" hidden="false" customHeight="false" outlineLevel="0" collapsed="false">
      <c r="A168" s="2" t="n">
        <f aca="false">IF(F168="","",COUNTIF($F$2:$F$1000,"&gt;"&amp;F168)+1)</f>
        <v>145</v>
      </c>
      <c r="B168" s="3" t="s">
        <v>186</v>
      </c>
      <c r="C168" s="4" t="s">
        <v>15</v>
      </c>
      <c r="D168" s="5" t="str">
        <f aca="false">IF(C168="","",IFERROR(INDEX(Summary!$B$2:$B$14,MATCH(C168,Summary!$A$2:$A$14,0)),"?"))</f>
        <v>Left Wing Forward</v>
      </c>
      <c r="E168" s="5" t="str">
        <f aca="false">IF(C168="","",IFERROR(INDEX(Summary!$C$2:$C$14,MATCH(C168,Summary!$A$2:$A$14,0)),"?"))</f>
        <v>Attacco</v>
      </c>
      <c r="F168" s="6" t="n">
        <v>86</v>
      </c>
      <c r="H168" s="7" t="n">
        <f aca="false">IF(OR(B168="",F168=""),"",F168-ROW()/100000)</f>
        <v>85.99832</v>
      </c>
      <c r="I168" s="0" t="str">
        <f aca="false">IF(H168="","",C168&amp;"|"&amp;(COUNTIFS($C$2:$C$1000,C168,$H$2:$H$1000,"&gt;"&amp;H168)+1))</f>
        <v>LWF|6</v>
      </c>
    </row>
    <row r="169" customFormat="false" ht="15" hidden="false" customHeight="false" outlineLevel="0" collapsed="false">
      <c r="A169" s="2" t="n">
        <f aca="false">IF(F169="","",COUNTIF($F$2:$F$1000,"&gt;"&amp;F169)+1)</f>
        <v>145</v>
      </c>
      <c r="B169" s="3" t="s">
        <v>187</v>
      </c>
      <c r="C169" s="4" t="s">
        <v>15</v>
      </c>
      <c r="D169" s="5" t="str">
        <f aca="false">IF(C169="","",IFERROR(INDEX(Summary!$B$2:$B$14,MATCH(C169,Summary!$A$2:$A$14,0)),"?"))</f>
        <v>Left Wing Forward</v>
      </c>
      <c r="E169" s="5" t="str">
        <f aca="false">IF(C169="","",IFERROR(INDEX(Summary!$C$2:$C$14,MATCH(C169,Summary!$A$2:$A$14,0)),"?"))</f>
        <v>Attacco</v>
      </c>
      <c r="F169" s="6" t="n">
        <v>86</v>
      </c>
      <c r="H169" s="7" t="n">
        <f aca="false">IF(OR(B169="",F169=""),"",F169-ROW()/100000)</f>
        <v>85.99831</v>
      </c>
      <c r="I169" s="0" t="str">
        <f aca="false">IF(H169="","",C169&amp;"|"&amp;(COUNTIFS($C$2:$C$1000,C169,$H$2:$H$1000,"&gt;"&amp;H169)+1))</f>
        <v>LWF|7</v>
      </c>
    </row>
    <row r="170" customFormat="false" ht="15" hidden="false" customHeight="false" outlineLevel="0" collapsed="false">
      <c r="A170" s="2" t="n">
        <f aca="false">IF(F170="","",COUNTIF($F$2:$F$1000,"&gt;"&amp;F170)+1)</f>
        <v>145</v>
      </c>
      <c r="B170" s="3" t="s">
        <v>188</v>
      </c>
      <c r="C170" s="4" t="s">
        <v>17</v>
      </c>
      <c r="D170" s="5" t="str">
        <f aca="false">IF(C170="","",IFERROR(INDEX(Summary!$B$2:$B$14,MATCH(C170,Summary!$A$2:$A$14,0)),"?"))</f>
        <v>Right Wing Forward</v>
      </c>
      <c r="E170" s="5" t="str">
        <f aca="false">IF(C170="","",IFERROR(INDEX(Summary!$C$2:$C$14,MATCH(C170,Summary!$A$2:$A$14,0)),"?"))</f>
        <v>Attacco</v>
      </c>
      <c r="F170" s="6" t="n">
        <v>86</v>
      </c>
      <c r="H170" s="7" t="n">
        <f aca="false">IF(OR(B170="",F170=""),"",F170-ROW()/100000)</f>
        <v>85.9983</v>
      </c>
      <c r="I170" s="0" t="str">
        <f aca="false">IF(H170="","",C170&amp;"|"&amp;(COUNTIFS($C$2:$C$1000,C170,$H$2:$H$1000,"&gt;"&amp;H170)+1))</f>
        <v>RWF|2</v>
      </c>
    </row>
    <row r="171" customFormat="false" ht="15" hidden="false" customHeight="false" outlineLevel="0" collapsed="false">
      <c r="A171" s="2" t="n">
        <f aca="false">IF(F171="","",COUNTIF($F$2:$F$1000,"&gt;"&amp;F171)+1)</f>
        <v>145</v>
      </c>
      <c r="B171" s="3" t="s">
        <v>189</v>
      </c>
      <c r="C171" s="4" t="s">
        <v>17</v>
      </c>
      <c r="D171" s="5" t="str">
        <f aca="false">IF(C171="","",IFERROR(INDEX(Summary!$B$2:$B$14,MATCH(C171,Summary!$A$2:$A$14,0)),"?"))</f>
        <v>Right Wing Forward</v>
      </c>
      <c r="E171" s="5" t="str">
        <f aca="false">IF(C171="","",IFERROR(INDEX(Summary!$C$2:$C$14,MATCH(C171,Summary!$A$2:$A$14,0)),"?"))</f>
        <v>Attacco</v>
      </c>
      <c r="F171" s="6" t="n">
        <v>86</v>
      </c>
      <c r="H171" s="7" t="n">
        <f aca="false">IF(OR(B171="",F171=""),"",F171-ROW()/100000)</f>
        <v>85.99829</v>
      </c>
      <c r="I171" s="0" t="str">
        <f aca="false">IF(H171="","",C171&amp;"|"&amp;(COUNTIFS($C$2:$C$1000,C171,$H$2:$H$1000,"&gt;"&amp;H171)+1))</f>
        <v>RWF|3</v>
      </c>
    </row>
    <row r="172" customFormat="false" ht="15" hidden="false" customHeight="false" outlineLevel="0" collapsed="false">
      <c r="A172" s="2" t="n">
        <f aca="false">IF(F172="","",COUNTIF($F$2:$F$1000,"&gt;"&amp;F172)+1)</f>
        <v>145</v>
      </c>
      <c r="B172" s="3" t="s">
        <v>190</v>
      </c>
      <c r="C172" s="4" t="s">
        <v>19</v>
      </c>
      <c r="D172" s="5" t="str">
        <f aca="false">IF(C172="","",IFERROR(INDEX(Summary!$B$2:$B$14,MATCH(C172,Summary!$A$2:$A$14,0)),"?"))</f>
        <v>Second Striker</v>
      </c>
      <c r="E172" s="5" t="str">
        <f aca="false">IF(C172="","",IFERROR(INDEX(Summary!$C$2:$C$14,MATCH(C172,Summary!$A$2:$A$14,0)),"?"))</f>
        <v>Attacco</v>
      </c>
      <c r="F172" s="6" t="n">
        <v>86</v>
      </c>
      <c r="H172" s="7" t="n">
        <f aca="false">IF(OR(B172="",F172=""),"",F172-ROW()/100000)</f>
        <v>85.99828</v>
      </c>
      <c r="I172" s="0" t="str">
        <f aca="false">IF(H172="","",C172&amp;"|"&amp;(COUNTIFS($C$2:$C$1000,C172,$H$2:$H$1000,"&gt;"&amp;H172)+1))</f>
        <v>SS|8</v>
      </c>
    </row>
    <row r="173" customFormat="false" ht="15" hidden="false" customHeight="false" outlineLevel="0" collapsed="false">
      <c r="A173" s="2" t="n">
        <f aca="false">IF(F173="","",COUNTIF($F$2:$F$1000,"&gt;"&amp;F173)+1)</f>
        <v>145</v>
      </c>
      <c r="B173" s="3" t="s">
        <v>191</v>
      </c>
      <c r="C173" s="4" t="s">
        <v>21</v>
      </c>
      <c r="D173" s="5" t="str">
        <f aca="false">IF(C173="","",IFERROR(INDEX(Summary!$B$2:$B$14,MATCH(C173,Summary!$A$2:$A$14,0)),"?"))</f>
        <v>Center Forward</v>
      </c>
      <c r="E173" s="5" t="str">
        <f aca="false">IF(C173="","",IFERROR(INDEX(Summary!$C$2:$C$14,MATCH(C173,Summary!$A$2:$A$14,0)),"?"))</f>
        <v>Attacco</v>
      </c>
      <c r="F173" s="6" t="n">
        <v>86</v>
      </c>
      <c r="H173" s="7" t="n">
        <f aca="false">IF(OR(B173="",F173=""),"",F173-ROW()/100000)</f>
        <v>85.99827</v>
      </c>
      <c r="I173" s="0" t="str">
        <f aca="false">IF(H173="","",C173&amp;"|"&amp;(COUNTIFS($C$2:$C$1000,C173,$H$2:$H$1000,"&gt;"&amp;H173)+1))</f>
        <v>CF|36</v>
      </c>
    </row>
    <row r="174" customFormat="false" ht="15" hidden="false" customHeight="false" outlineLevel="0" collapsed="false">
      <c r="A174" s="2" t="n">
        <f aca="false">IF(F174="","",COUNTIF($F$2:$F$1000,"&gt;"&amp;F174)+1)</f>
        <v>145</v>
      </c>
      <c r="B174" s="3" t="s">
        <v>192</v>
      </c>
      <c r="C174" s="4" t="s">
        <v>21</v>
      </c>
      <c r="D174" s="5" t="str">
        <f aca="false">IF(C174="","",IFERROR(INDEX(Summary!$B$2:$B$14,MATCH(C174,Summary!$A$2:$A$14,0)),"?"))</f>
        <v>Center Forward</v>
      </c>
      <c r="E174" s="5" t="str">
        <f aca="false">IF(C174="","",IFERROR(INDEX(Summary!$C$2:$C$14,MATCH(C174,Summary!$A$2:$A$14,0)),"?"))</f>
        <v>Attacco</v>
      </c>
      <c r="F174" s="6" t="n">
        <v>86</v>
      </c>
      <c r="H174" s="7" t="n">
        <f aca="false">IF(OR(B174="",F174=""),"",F174-ROW()/100000)</f>
        <v>85.99826</v>
      </c>
      <c r="I174" s="0" t="str">
        <f aca="false">IF(H174="","",C174&amp;"|"&amp;(COUNTIFS($C$2:$C$1000,C174,$H$2:$H$1000,"&gt;"&amp;H174)+1))</f>
        <v>CF|37</v>
      </c>
    </row>
    <row r="175" customFormat="false" ht="15" hidden="false" customHeight="false" outlineLevel="0" collapsed="false">
      <c r="A175" s="2" t="n">
        <f aca="false">IF(F175="","",COUNTIF($F$2:$F$1000,"&gt;"&amp;F175)+1)</f>
        <v>145</v>
      </c>
      <c r="B175" s="3" t="s">
        <v>193</v>
      </c>
      <c r="C175" s="4" t="s">
        <v>21</v>
      </c>
      <c r="D175" s="5" t="str">
        <f aca="false">IF(C175="","",IFERROR(INDEX(Summary!$B$2:$B$14,MATCH(C175,Summary!$A$2:$A$14,0)),"?"))</f>
        <v>Center Forward</v>
      </c>
      <c r="E175" s="5" t="str">
        <f aca="false">IF(C175="","",IFERROR(INDEX(Summary!$C$2:$C$14,MATCH(C175,Summary!$A$2:$A$14,0)),"?"))</f>
        <v>Attacco</v>
      </c>
      <c r="F175" s="6" t="n">
        <v>86</v>
      </c>
      <c r="H175" s="7" t="n">
        <f aca="false">IF(OR(B175="",F175=""),"",F175-ROW()/100000)</f>
        <v>85.99825</v>
      </c>
      <c r="I175" s="0" t="str">
        <f aca="false">IF(H175="","",C175&amp;"|"&amp;(COUNTIFS($C$2:$C$1000,C175,$H$2:$H$1000,"&gt;"&amp;H175)+1))</f>
        <v>CF|38</v>
      </c>
    </row>
    <row r="176" customFormat="false" ht="15" hidden="false" customHeight="false" outlineLevel="0" collapsed="false">
      <c r="A176" s="2" t="n">
        <f aca="false">IF(F176="","",COUNTIF($F$2:$F$1000,"&gt;"&amp;F176)+1)</f>
        <v>175</v>
      </c>
      <c r="B176" s="3" t="s">
        <v>194</v>
      </c>
      <c r="C176" s="4" t="s">
        <v>9</v>
      </c>
      <c r="D176" s="5" t="str">
        <f aca="false">IF(C176="","",IFERROR(INDEX(Summary!$B$2:$B$14,MATCH(C176,Summary!$A$2:$A$14,0)),"?"))</f>
        <v>Goalkeeper</v>
      </c>
      <c r="E176" s="5" t="str">
        <f aca="false">IF(C176="","",IFERROR(INDEX(Summary!$C$2:$C$14,MATCH(C176,Summary!$A$2:$A$14,0)),"?"))</f>
        <v>Portieri</v>
      </c>
      <c r="F176" s="6" t="n">
        <v>85</v>
      </c>
      <c r="H176" s="7" t="n">
        <f aca="false">IF(OR(B176="",F176=""),"",F176-ROW()/100000)</f>
        <v>84.99824</v>
      </c>
      <c r="I176" s="0" t="str">
        <f aca="false">IF(H176="","",C176&amp;"|"&amp;(COUNTIFS($C$2:$C$1000,C176,$H$2:$H$1000,"&gt;"&amp;H176)+1))</f>
        <v>GK|16</v>
      </c>
    </row>
    <row r="177" customFormat="false" ht="15" hidden="false" customHeight="false" outlineLevel="0" collapsed="false">
      <c r="A177" s="2" t="n">
        <f aca="false">IF(F177="","",COUNTIF($F$2:$F$1000,"&gt;"&amp;F177)+1)</f>
        <v>175</v>
      </c>
      <c r="B177" s="3" t="s">
        <v>195</v>
      </c>
      <c r="C177" s="4" t="s">
        <v>9</v>
      </c>
      <c r="D177" s="5" t="str">
        <f aca="false">IF(C177="","",IFERROR(INDEX(Summary!$B$2:$B$14,MATCH(C177,Summary!$A$2:$A$14,0)),"?"))</f>
        <v>Goalkeeper</v>
      </c>
      <c r="E177" s="5" t="str">
        <f aca="false">IF(C177="","",IFERROR(INDEX(Summary!$C$2:$C$14,MATCH(C177,Summary!$A$2:$A$14,0)),"?"))</f>
        <v>Portieri</v>
      </c>
      <c r="F177" s="6" t="n">
        <v>85</v>
      </c>
      <c r="H177" s="7" t="n">
        <f aca="false">IF(OR(B177="",F177=""),"",F177-ROW()/100000)</f>
        <v>84.99823</v>
      </c>
      <c r="I177" s="0" t="str">
        <f aca="false">IF(H177="","",C177&amp;"|"&amp;(COUNTIFS($C$2:$C$1000,C177,$H$2:$H$1000,"&gt;"&amp;H177)+1))</f>
        <v>GK|17</v>
      </c>
    </row>
    <row r="178" customFormat="false" ht="15" hidden="false" customHeight="false" outlineLevel="0" collapsed="false">
      <c r="A178" s="2" t="n">
        <f aca="false">IF(F178="","",COUNTIF($F$2:$F$1000,"&gt;"&amp;F178)+1)</f>
        <v>175</v>
      </c>
      <c r="B178" s="3" t="s">
        <v>196</v>
      </c>
      <c r="C178" s="4" t="s">
        <v>9</v>
      </c>
      <c r="D178" s="5" t="str">
        <f aca="false">IF(C178="","",IFERROR(INDEX(Summary!$B$2:$B$14,MATCH(C178,Summary!$A$2:$A$14,0)),"?"))</f>
        <v>Goalkeeper</v>
      </c>
      <c r="E178" s="5" t="str">
        <f aca="false">IF(C178="","",IFERROR(INDEX(Summary!$C$2:$C$14,MATCH(C178,Summary!$A$2:$A$14,0)),"?"))</f>
        <v>Portieri</v>
      </c>
      <c r="F178" s="6" t="n">
        <v>85</v>
      </c>
      <c r="H178" s="7" t="n">
        <f aca="false">IF(OR(B178="",F178=""),"",F178-ROW()/100000)</f>
        <v>84.99822</v>
      </c>
      <c r="I178" s="0" t="str">
        <f aca="false">IF(H178="","",C178&amp;"|"&amp;(COUNTIFS($C$2:$C$1000,C178,$H$2:$H$1000,"&gt;"&amp;H178)+1))</f>
        <v>GK|18</v>
      </c>
    </row>
    <row r="179" customFormat="false" ht="15" hidden="false" customHeight="false" outlineLevel="0" collapsed="false">
      <c r="A179" s="2" t="n">
        <f aca="false">IF(F179="","",COUNTIF($F$2:$F$1000,"&gt;"&amp;F179)+1)</f>
        <v>175</v>
      </c>
      <c r="B179" s="3" t="s">
        <v>197</v>
      </c>
      <c r="C179" s="4" t="s">
        <v>9</v>
      </c>
      <c r="D179" s="5" t="str">
        <f aca="false">IF(C179="","",IFERROR(INDEX(Summary!$B$2:$B$14,MATCH(C179,Summary!$A$2:$A$14,0)),"?"))</f>
        <v>Goalkeeper</v>
      </c>
      <c r="E179" s="5" t="str">
        <f aca="false">IF(C179="","",IFERROR(INDEX(Summary!$C$2:$C$14,MATCH(C179,Summary!$A$2:$A$14,0)),"?"))</f>
        <v>Portieri</v>
      </c>
      <c r="F179" s="6" t="n">
        <v>85</v>
      </c>
      <c r="H179" s="7" t="n">
        <f aca="false">IF(OR(B179="",F179=""),"",F179-ROW()/100000)</f>
        <v>84.99821</v>
      </c>
      <c r="I179" s="0" t="str">
        <f aca="false">IF(H179="","",C179&amp;"|"&amp;(COUNTIFS($C$2:$C$1000,C179,$H$2:$H$1000,"&gt;"&amp;H179)+1))</f>
        <v>GK|19</v>
      </c>
    </row>
    <row r="180" customFormat="false" ht="15" hidden="false" customHeight="false" outlineLevel="0" collapsed="false">
      <c r="A180" s="2" t="n">
        <f aca="false">IF(F180="","",COUNTIF($F$2:$F$1000,"&gt;"&amp;F180)+1)</f>
        <v>175</v>
      </c>
      <c r="B180" s="3" t="s">
        <v>198</v>
      </c>
      <c r="C180" s="4" t="s">
        <v>9</v>
      </c>
      <c r="D180" s="5" t="str">
        <f aca="false">IF(C180="","",IFERROR(INDEX(Summary!$B$2:$B$14,MATCH(C180,Summary!$A$2:$A$14,0)),"?"))</f>
        <v>Goalkeeper</v>
      </c>
      <c r="E180" s="5" t="str">
        <f aca="false">IF(C180="","",IFERROR(INDEX(Summary!$C$2:$C$14,MATCH(C180,Summary!$A$2:$A$14,0)),"?"))</f>
        <v>Portieri</v>
      </c>
      <c r="F180" s="6" t="n">
        <v>85</v>
      </c>
      <c r="H180" s="7" t="n">
        <f aca="false">IF(OR(B180="",F180=""),"",F180-ROW()/100000)</f>
        <v>84.9982</v>
      </c>
      <c r="I180" s="0" t="str">
        <f aca="false">IF(H180="","",C180&amp;"|"&amp;(COUNTIFS($C$2:$C$1000,C180,$H$2:$H$1000,"&gt;"&amp;H180)+1))</f>
        <v>GK|20</v>
      </c>
    </row>
    <row r="181" customFormat="false" ht="15" hidden="false" customHeight="false" outlineLevel="0" collapsed="false">
      <c r="A181" s="2" t="n">
        <f aca="false">IF(F181="","",COUNTIF($F$2:$F$1000,"&gt;"&amp;F181)+1)</f>
        <v>175</v>
      </c>
      <c r="B181" s="3" t="s">
        <v>199</v>
      </c>
      <c r="C181" s="4" t="s">
        <v>38</v>
      </c>
      <c r="D181" s="5" t="str">
        <f aca="false">IF(C181="","",IFERROR(INDEX(Summary!$B$2:$B$14,MATCH(C181,Summary!$A$2:$A$14,0)),"?"))</f>
        <v>Center Back</v>
      </c>
      <c r="E181" s="5" t="str">
        <f aca="false">IF(C181="","",IFERROR(INDEX(Summary!$C$2:$C$14,MATCH(C181,Summary!$A$2:$A$14,0)),"?"))</f>
        <v>Difensori</v>
      </c>
      <c r="F181" s="6" t="n">
        <v>85</v>
      </c>
      <c r="H181" s="7" t="n">
        <f aca="false">IF(OR(B181="",F181=""),"",F181-ROW()/100000)</f>
        <v>84.99819</v>
      </c>
      <c r="I181" s="0" t="str">
        <f aca="false">IF(H181="","",C181&amp;"|"&amp;(COUNTIFS($C$2:$C$1000,C181,$H$2:$H$1000,"&gt;"&amp;H181)+1))</f>
        <v>CB|28</v>
      </c>
    </row>
    <row r="182" customFormat="false" ht="15" hidden="false" customHeight="false" outlineLevel="0" collapsed="false">
      <c r="A182" s="2" t="n">
        <f aca="false">IF(F182="","",COUNTIF($F$2:$F$1000,"&gt;"&amp;F182)+1)</f>
        <v>175</v>
      </c>
      <c r="B182" s="3" t="s">
        <v>200</v>
      </c>
      <c r="C182" s="4" t="s">
        <v>38</v>
      </c>
      <c r="D182" s="5" t="str">
        <f aca="false">IF(C182="","",IFERROR(INDEX(Summary!$B$2:$B$14,MATCH(C182,Summary!$A$2:$A$14,0)),"?"))</f>
        <v>Center Back</v>
      </c>
      <c r="E182" s="5" t="str">
        <f aca="false">IF(C182="","",IFERROR(INDEX(Summary!$C$2:$C$14,MATCH(C182,Summary!$A$2:$A$14,0)),"?"))</f>
        <v>Difensori</v>
      </c>
      <c r="F182" s="6" t="n">
        <v>85</v>
      </c>
      <c r="H182" s="7" t="n">
        <f aca="false">IF(OR(B182="",F182=""),"",F182-ROW()/100000)</f>
        <v>84.99818</v>
      </c>
      <c r="I182" s="0" t="str">
        <f aca="false">IF(H182="","",C182&amp;"|"&amp;(COUNTIFS($C$2:$C$1000,C182,$H$2:$H$1000,"&gt;"&amp;H182)+1))</f>
        <v>CB|29</v>
      </c>
    </row>
    <row r="183" customFormat="false" ht="15" hidden="false" customHeight="false" outlineLevel="0" collapsed="false">
      <c r="A183" s="2" t="n">
        <f aca="false">IF(F183="","",COUNTIF($F$2:$F$1000,"&gt;"&amp;F183)+1)</f>
        <v>175</v>
      </c>
      <c r="B183" s="3" t="s">
        <v>201</v>
      </c>
      <c r="C183" s="4" t="s">
        <v>38</v>
      </c>
      <c r="D183" s="5" t="str">
        <f aca="false">IF(C183="","",IFERROR(INDEX(Summary!$B$2:$B$14,MATCH(C183,Summary!$A$2:$A$14,0)),"?"))</f>
        <v>Center Back</v>
      </c>
      <c r="E183" s="5" t="str">
        <f aca="false">IF(C183="","",IFERROR(INDEX(Summary!$C$2:$C$14,MATCH(C183,Summary!$A$2:$A$14,0)),"?"))</f>
        <v>Difensori</v>
      </c>
      <c r="F183" s="6" t="n">
        <v>85</v>
      </c>
      <c r="H183" s="7" t="n">
        <f aca="false">IF(OR(B183="",F183=""),"",F183-ROW()/100000)</f>
        <v>84.99817</v>
      </c>
      <c r="I183" s="0" t="str">
        <f aca="false">IF(H183="","",C183&amp;"|"&amp;(COUNTIFS($C$2:$C$1000,C183,$H$2:$H$1000,"&gt;"&amp;H183)+1))</f>
        <v>CB|30</v>
      </c>
    </row>
    <row r="184" customFormat="false" ht="15" hidden="false" customHeight="false" outlineLevel="0" collapsed="false">
      <c r="A184" s="2" t="n">
        <f aca="false">IF(F184="","",COUNTIF($F$2:$F$1000,"&gt;"&amp;F184)+1)</f>
        <v>175</v>
      </c>
      <c r="B184" s="3" t="s">
        <v>202</v>
      </c>
      <c r="C184" s="4" t="s">
        <v>38</v>
      </c>
      <c r="D184" s="5" t="str">
        <f aca="false">IF(C184="","",IFERROR(INDEX(Summary!$B$2:$B$14,MATCH(C184,Summary!$A$2:$A$14,0)),"?"))</f>
        <v>Center Back</v>
      </c>
      <c r="E184" s="5" t="str">
        <f aca="false">IF(C184="","",IFERROR(INDEX(Summary!$C$2:$C$14,MATCH(C184,Summary!$A$2:$A$14,0)),"?"))</f>
        <v>Difensori</v>
      </c>
      <c r="F184" s="6" t="n">
        <v>85</v>
      </c>
      <c r="H184" s="7" t="n">
        <f aca="false">IF(OR(B184="",F184=""),"",F184-ROW()/100000)</f>
        <v>84.99816</v>
      </c>
      <c r="I184" s="0" t="str">
        <f aca="false">IF(H184="","",C184&amp;"|"&amp;(COUNTIFS($C$2:$C$1000,C184,$H$2:$H$1000,"&gt;"&amp;H184)+1))</f>
        <v>CB|31</v>
      </c>
    </row>
    <row r="185" customFormat="false" ht="15" hidden="false" customHeight="false" outlineLevel="0" collapsed="false">
      <c r="A185" s="2" t="n">
        <f aca="false">IF(F185="","",COUNTIF($F$2:$F$1000,"&gt;"&amp;F185)+1)</f>
        <v>175</v>
      </c>
      <c r="B185" s="3" t="s">
        <v>203</v>
      </c>
      <c r="C185" s="4" t="s">
        <v>38</v>
      </c>
      <c r="D185" s="5" t="str">
        <f aca="false">IF(C185="","",IFERROR(INDEX(Summary!$B$2:$B$14,MATCH(C185,Summary!$A$2:$A$14,0)),"?"))</f>
        <v>Center Back</v>
      </c>
      <c r="E185" s="5" t="str">
        <f aca="false">IF(C185="","",IFERROR(INDEX(Summary!$C$2:$C$14,MATCH(C185,Summary!$A$2:$A$14,0)),"?"))</f>
        <v>Difensori</v>
      </c>
      <c r="F185" s="6" t="n">
        <v>85</v>
      </c>
      <c r="H185" s="7" t="n">
        <f aca="false">IF(OR(B185="",F185=""),"",F185-ROW()/100000)</f>
        <v>84.99815</v>
      </c>
      <c r="I185" s="0" t="str">
        <f aca="false">IF(H185="","",C185&amp;"|"&amp;(COUNTIFS($C$2:$C$1000,C185,$H$2:$H$1000,"&gt;"&amp;H185)+1))</f>
        <v>CB|32</v>
      </c>
    </row>
    <row r="186" customFormat="false" ht="15" hidden="false" customHeight="false" outlineLevel="0" collapsed="false">
      <c r="A186" s="2" t="n">
        <f aca="false">IF(F186="","",COUNTIF($F$2:$F$1000,"&gt;"&amp;F186)+1)</f>
        <v>175</v>
      </c>
      <c r="B186" s="3" t="s">
        <v>204</v>
      </c>
      <c r="C186" s="4" t="s">
        <v>38</v>
      </c>
      <c r="D186" s="5" t="str">
        <f aca="false">IF(C186="","",IFERROR(INDEX(Summary!$B$2:$B$14,MATCH(C186,Summary!$A$2:$A$14,0)),"?"))</f>
        <v>Center Back</v>
      </c>
      <c r="E186" s="5" t="str">
        <f aca="false">IF(C186="","",IFERROR(INDEX(Summary!$C$2:$C$14,MATCH(C186,Summary!$A$2:$A$14,0)),"?"))</f>
        <v>Difensori</v>
      </c>
      <c r="F186" s="6" t="n">
        <v>85</v>
      </c>
      <c r="H186" s="7" t="n">
        <f aca="false">IF(OR(B186="",F186=""),"",F186-ROW()/100000)</f>
        <v>84.99814</v>
      </c>
      <c r="I186" s="0" t="str">
        <f aca="false">IF(H186="","",C186&amp;"|"&amp;(COUNTIFS($C$2:$C$1000,C186,$H$2:$H$1000,"&gt;"&amp;H186)+1))</f>
        <v>CB|33</v>
      </c>
    </row>
    <row r="187" customFormat="false" ht="15" hidden="false" customHeight="false" outlineLevel="0" collapsed="false">
      <c r="A187" s="2" t="n">
        <f aca="false">IF(F187="","",COUNTIF($F$2:$F$1000,"&gt;"&amp;F187)+1)</f>
        <v>175</v>
      </c>
      <c r="B187" s="3" t="s">
        <v>205</v>
      </c>
      <c r="C187" s="4" t="s">
        <v>38</v>
      </c>
      <c r="D187" s="5" t="str">
        <f aca="false">IF(C187="","",IFERROR(INDEX(Summary!$B$2:$B$14,MATCH(C187,Summary!$A$2:$A$14,0)),"?"))</f>
        <v>Center Back</v>
      </c>
      <c r="E187" s="5" t="str">
        <f aca="false">IF(C187="","",IFERROR(INDEX(Summary!$C$2:$C$14,MATCH(C187,Summary!$A$2:$A$14,0)),"?"))</f>
        <v>Difensori</v>
      </c>
      <c r="F187" s="6" t="n">
        <v>85</v>
      </c>
      <c r="H187" s="7" t="n">
        <f aca="false">IF(OR(B187="",F187=""),"",F187-ROW()/100000)</f>
        <v>84.99813</v>
      </c>
      <c r="I187" s="0" t="str">
        <f aca="false">IF(H187="","",C187&amp;"|"&amp;(COUNTIFS($C$2:$C$1000,C187,$H$2:$H$1000,"&gt;"&amp;H187)+1))</f>
        <v>CB|34</v>
      </c>
    </row>
    <row r="188" customFormat="false" ht="15" hidden="false" customHeight="false" outlineLevel="0" collapsed="false">
      <c r="A188" s="2" t="n">
        <f aca="false">IF(F188="","",COUNTIF($F$2:$F$1000,"&gt;"&amp;F188)+1)</f>
        <v>175</v>
      </c>
      <c r="B188" s="3" t="s">
        <v>206</v>
      </c>
      <c r="C188" s="4" t="s">
        <v>38</v>
      </c>
      <c r="D188" s="5" t="str">
        <f aca="false">IF(C188="","",IFERROR(INDEX(Summary!$B$2:$B$14,MATCH(C188,Summary!$A$2:$A$14,0)),"?"))</f>
        <v>Center Back</v>
      </c>
      <c r="E188" s="5" t="str">
        <f aca="false">IF(C188="","",IFERROR(INDEX(Summary!$C$2:$C$14,MATCH(C188,Summary!$A$2:$A$14,0)),"?"))</f>
        <v>Difensori</v>
      </c>
      <c r="F188" s="6" t="n">
        <v>85</v>
      </c>
      <c r="H188" s="7" t="n">
        <f aca="false">IF(OR(B188="",F188=""),"",F188-ROW()/100000)</f>
        <v>84.99812</v>
      </c>
      <c r="I188" s="0" t="str">
        <f aca="false">IF(H188="","",C188&amp;"|"&amp;(COUNTIFS($C$2:$C$1000,C188,$H$2:$H$1000,"&gt;"&amp;H188)+1))</f>
        <v>CB|35</v>
      </c>
    </row>
    <row r="189" customFormat="false" ht="15" hidden="false" customHeight="false" outlineLevel="0" collapsed="false">
      <c r="A189" s="2" t="n">
        <f aca="false">IF(F189="","",COUNTIF($F$2:$F$1000,"&gt;"&amp;F189)+1)</f>
        <v>175</v>
      </c>
      <c r="B189" s="3" t="s">
        <v>207</v>
      </c>
      <c r="C189" s="4" t="s">
        <v>38</v>
      </c>
      <c r="D189" s="5" t="str">
        <f aca="false">IF(C189="","",IFERROR(INDEX(Summary!$B$2:$B$14,MATCH(C189,Summary!$A$2:$A$14,0)),"?"))</f>
        <v>Center Back</v>
      </c>
      <c r="E189" s="5" t="str">
        <f aca="false">IF(C189="","",IFERROR(INDEX(Summary!$C$2:$C$14,MATCH(C189,Summary!$A$2:$A$14,0)),"?"))</f>
        <v>Difensori</v>
      </c>
      <c r="F189" s="6" t="n">
        <v>85</v>
      </c>
      <c r="H189" s="7" t="n">
        <f aca="false">IF(OR(B189="",F189=""),"",F189-ROW()/100000)</f>
        <v>84.99811</v>
      </c>
      <c r="I189" s="0" t="str">
        <f aca="false">IF(H189="","",C189&amp;"|"&amp;(COUNTIFS($C$2:$C$1000,C189,$H$2:$H$1000,"&gt;"&amp;H189)+1))</f>
        <v>CB|36</v>
      </c>
    </row>
    <row r="190" customFormat="false" ht="15" hidden="false" customHeight="false" outlineLevel="0" collapsed="false">
      <c r="A190" s="2" t="n">
        <f aca="false">IF(F190="","",COUNTIF($F$2:$F$1000,"&gt;"&amp;F190)+1)</f>
        <v>175</v>
      </c>
      <c r="B190" s="3" t="s">
        <v>208</v>
      </c>
      <c r="C190" s="4" t="s">
        <v>38</v>
      </c>
      <c r="D190" s="5" t="str">
        <f aca="false">IF(C190="","",IFERROR(INDEX(Summary!$B$2:$B$14,MATCH(C190,Summary!$A$2:$A$14,0)),"?"))</f>
        <v>Center Back</v>
      </c>
      <c r="E190" s="5" t="str">
        <f aca="false">IF(C190="","",IFERROR(INDEX(Summary!$C$2:$C$14,MATCH(C190,Summary!$A$2:$A$14,0)),"?"))</f>
        <v>Difensori</v>
      </c>
      <c r="F190" s="6" t="n">
        <v>85</v>
      </c>
      <c r="H190" s="7" t="n">
        <f aca="false">IF(OR(B190="",F190=""),"",F190-ROW()/100000)</f>
        <v>84.9981</v>
      </c>
      <c r="I190" s="0" t="str">
        <f aca="false">IF(H190="","",C190&amp;"|"&amp;(COUNTIFS($C$2:$C$1000,C190,$H$2:$H$1000,"&gt;"&amp;H190)+1))</f>
        <v>CB|37</v>
      </c>
    </row>
    <row r="191" customFormat="false" ht="15" hidden="false" customHeight="false" outlineLevel="0" collapsed="false">
      <c r="A191" s="2" t="n">
        <f aca="false">IF(F191="","",COUNTIF($F$2:$F$1000,"&gt;"&amp;F191)+1)</f>
        <v>175</v>
      </c>
      <c r="B191" s="3" t="s">
        <v>209</v>
      </c>
      <c r="C191" s="4" t="s">
        <v>51</v>
      </c>
      <c r="D191" s="5" t="str">
        <f aca="false">IF(C191="","",IFERROR(INDEX(Summary!$B$2:$B$14,MATCH(C191,Summary!$A$2:$A$14,0)),"?"))</f>
        <v>Defensive Midfielder</v>
      </c>
      <c r="E191" s="5" t="str">
        <f aca="false">IF(C191="","",IFERROR(INDEX(Summary!$C$2:$C$14,MATCH(C191,Summary!$A$2:$A$14,0)),"?"))</f>
        <v>Centrocampo</v>
      </c>
      <c r="F191" s="6" t="n">
        <v>85</v>
      </c>
      <c r="H191" s="7" t="n">
        <f aca="false">IF(OR(B191="",F191=""),"",F191-ROW()/100000)</f>
        <v>84.99809</v>
      </c>
      <c r="I191" s="0" t="str">
        <f aca="false">IF(H191="","",C191&amp;"|"&amp;(COUNTIFS($C$2:$C$1000,C191,$H$2:$H$1000,"&gt;"&amp;H191)+1))</f>
        <v>DMF|16</v>
      </c>
    </row>
    <row r="192" customFormat="false" ht="15" hidden="false" customHeight="false" outlineLevel="0" collapsed="false">
      <c r="A192" s="2" t="n">
        <f aca="false">IF(F192="","",COUNTIF($F$2:$F$1000,"&gt;"&amp;F192)+1)</f>
        <v>175</v>
      </c>
      <c r="B192" s="3" t="s">
        <v>210</v>
      </c>
      <c r="C192" s="4" t="s">
        <v>51</v>
      </c>
      <c r="D192" s="5" t="str">
        <f aca="false">IF(C192="","",IFERROR(INDEX(Summary!$B$2:$B$14,MATCH(C192,Summary!$A$2:$A$14,0)),"?"))</f>
        <v>Defensive Midfielder</v>
      </c>
      <c r="E192" s="5" t="str">
        <f aca="false">IF(C192="","",IFERROR(INDEX(Summary!$C$2:$C$14,MATCH(C192,Summary!$A$2:$A$14,0)),"?"))</f>
        <v>Centrocampo</v>
      </c>
      <c r="F192" s="6" t="n">
        <v>85</v>
      </c>
      <c r="H192" s="7" t="n">
        <f aca="false">IF(OR(B192="",F192=""),"",F192-ROW()/100000)</f>
        <v>84.99808</v>
      </c>
      <c r="I192" s="0" t="str">
        <f aca="false">IF(H192="","",C192&amp;"|"&amp;(COUNTIFS($C$2:$C$1000,C192,$H$2:$H$1000,"&gt;"&amp;H192)+1))</f>
        <v>DMF|17</v>
      </c>
    </row>
    <row r="193" customFormat="false" ht="15" hidden="false" customHeight="false" outlineLevel="0" collapsed="false">
      <c r="A193" s="2" t="n">
        <f aca="false">IF(F193="","",COUNTIF($F$2:$F$1000,"&gt;"&amp;F193)+1)</f>
        <v>175</v>
      </c>
      <c r="B193" s="3" t="s">
        <v>211</v>
      </c>
      <c r="C193" s="4" t="s">
        <v>42</v>
      </c>
      <c r="D193" s="5" t="str">
        <f aca="false">IF(C193="","",IFERROR(INDEX(Summary!$B$2:$B$14,MATCH(C193,Summary!$A$2:$A$14,0)),"?"))</f>
        <v>Left Midfielder</v>
      </c>
      <c r="E193" s="5" t="str">
        <f aca="false">IF(C193="","",IFERROR(INDEX(Summary!$C$2:$C$14,MATCH(C193,Summary!$A$2:$A$14,0)),"?"))</f>
        <v>Centrocampo</v>
      </c>
      <c r="F193" s="6" t="n">
        <v>85</v>
      </c>
      <c r="H193" s="7" t="n">
        <f aca="false">IF(OR(B193="",F193=""),"",F193-ROW()/100000)</f>
        <v>84.99807</v>
      </c>
      <c r="I193" s="0" t="str">
        <f aca="false">IF(H193="","",C193&amp;"|"&amp;(COUNTIFS($C$2:$C$1000,C193,$H$2:$H$1000,"&gt;"&amp;H193)+1))</f>
        <v>LMF|11</v>
      </c>
    </row>
    <row r="194" customFormat="false" ht="15" hidden="false" customHeight="false" outlineLevel="0" collapsed="false">
      <c r="A194" s="2" t="n">
        <f aca="false">IF(F194="","",COUNTIF($F$2:$F$1000,"&gt;"&amp;F194)+1)</f>
        <v>175</v>
      </c>
      <c r="B194" s="3" t="s">
        <v>212</v>
      </c>
      <c r="C194" s="4" t="s">
        <v>42</v>
      </c>
      <c r="D194" s="5" t="str">
        <f aca="false">IF(C194="","",IFERROR(INDEX(Summary!$B$2:$B$14,MATCH(C194,Summary!$A$2:$A$14,0)),"?"))</f>
        <v>Left Midfielder</v>
      </c>
      <c r="E194" s="5" t="str">
        <f aca="false">IF(C194="","",IFERROR(INDEX(Summary!$C$2:$C$14,MATCH(C194,Summary!$A$2:$A$14,0)),"?"))</f>
        <v>Centrocampo</v>
      </c>
      <c r="F194" s="6" t="n">
        <v>85</v>
      </c>
      <c r="H194" s="7" t="n">
        <f aca="false">IF(OR(B194="",F194=""),"",F194-ROW()/100000)</f>
        <v>84.99806</v>
      </c>
      <c r="I194" s="0" t="str">
        <f aca="false">IF(H194="","",C194&amp;"|"&amp;(COUNTIFS($C$2:$C$1000,C194,$H$2:$H$1000,"&gt;"&amp;H194)+1))</f>
        <v>LMF|12</v>
      </c>
    </row>
    <row r="195" customFormat="false" ht="15" hidden="false" customHeight="false" outlineLevel="0" collapsed="false">
      <c r="A195" s="2" t="n">
        <f aca="false">IF(F195="","",COUNTIF($F$2:$F$1000,"&gt;"&amp;F195)+1)</f>
        <v>175</v>
      </c>
      <c r="B195" s="3" t="s">
        <v>213</v>
      </c>
      <c r="C195" s="4" t="s">
        <v>28</v>
      </c>
      <c r="D195" s="5" t="str">
        <f aca="false">IF(C195="","",IFERROR(INDEX(Summary!$B$2:$B$14,MATCH(C195,Summary!$A$2:$A$14,0)),"?"))</f>
        <v>Right Midfielder</v>
      </c>
      <c r="E195" s="5" t="str">
        <f aca="false">IF(C195="","",IFERROR(INDEX(Summary!$C$2:$C$14,MATCH(C195,Summary!$A$2:$A$14,0)),"?"))</f>
        <v>Centrocampo</v>
      </c>
      <c r="F195" s="6" t="n">
        <v>85</v>
      </c>
      <c r="H195" s="7" t="n">
        <f aca="false">IF(OR(B195="",F195=""),"",F195-ROW()/100000)</f>
        <v>84.99805</v>
      </c>
      <c r="I195" s="0" t="str">
        <f aca="false">IF(H195="","",C195&amp;"|"&amp;(COUNTIFS($C$2:$C$1000,C195,$H$2:$H$1000,"&gt;"&amp;H195)+1))</f>
        <v>RMF|10</v>
      </c>
    </row>
    <row r="196" customFormat="false" ht="15" hidden="false" customHeight="false" outlineLevel="0" collapsed="false">
      <c r="A196" s="2" t="n">
        <f aca="false">IF(F196="","",COUNTIF($F$2:$F$1000,"&gt;"&amp;F196)+1)</f>
        <v>175</v>
      </c>
      <c r="B196" s="3" t="s">
        <v>214</v>
      </c>
      <c r="C196" s="4" t="s">
        <v>28</v>
      </c>
      <c r="D196" s="5" t="str">
        <f aca="false">IF(C196="","",IFERROR(INDEX(Summary!$B$2:$B$14,MATCH(C196,Summary!$A$2:$A$14,0)),"?"))</f>
        <v>Right Midfielder</v>
      </c>
      <c r="E196" s="5" t="str">
        <f aca="false">IF(C196="","",IFERROR(INDEX(Summary!$C$2:$C$14,MATCH(C196,Summary!$A$2:$A$14,0)),"?"))</f>
        <v>Centrocampo</v>
      </c>
      <c r="F196" s="6" t="n">
        <v>85</v>
      </c>
      <c r="H196" s="7" t="n">
        <f aca="false">IF(OR(B196="",F196=""),"",F196-ROW()/100000)</f>
        <v>84.99804</v>
      </c>
      <c r="I196" s="0" t="str">
        <f aca="false">IF(H196="","",C196&amp;"|"&amp;(COUNTIFS($C$2:$C$1000,C196,$H$2:$H$1000,"&gt;"&amp;H196)+1))</f>
        <v>RMF|11</v>
      </c>
    </row>
    <row r="197" customFormat="false" ht="15" hidden="false" customHeight="false" outlineLevel="0" collapsed="false">
      <c r="A197" s="2" t="n">
        <f aca="false">IF(F197="","",COUNTIF($F$2:$F$1000,"&gt;"&amp;F197)+1)</f>
        <v>175</v>
      </c>
      <c r="B197" s="3" t="s">
        <v>215</v>
      </c>
      <c r="C197" s="4" t="s">
        <v>28</v>
      </c>
      <c r="D197" s="5" t="str">
        <f aca="false">IF(C197="","",IFERROR(INDEX(Summary!$B$2:$B$14,MATCH(C197,Summary!$A$2:$A$14,0)),"?"))</f>
        <v>Right Midfielder</v>
      </c>
      <c r="E197" s="5" t="str">
        <f aca="false">IF(C197="","",IFERROR(INDEX(Summary!$C$2:$C$14,MATCH(C197,Summary!$A$2:$A$14,0)),"?"))</f>
        <v>Centrocampo</v>
      </c>
      <c r="F197" s="6" t="n">
        <v>85</v>
      </c>
      <c r="H197" s="7" t="n">
        <f aca="false">IF(OR(B197="",F197=""),"",F197-ROW()/100000)</f>
        <v>84.99803</v>
      </c>
      <c r="I197" s="0" t="str">
        <f aca="false">IF(H197="","",C197&amp;"|"&amp;(COUNTIFS($C$2:$C$1000,C197,$H$2:$H$1000,"&gt;"&amp;H197)+1))</f>
        <v>RMF|12</v>
      </c>
    </row>
    <row r="198" customFormat="false" ht="15" hidden="false" customHeight="false" outlineLevel="0" collapsed="false">
      <c r="A198" s="2" t="n">
        <f aca="false">IF(F198="","",COUNTIF($F$2:$F$1000,"&gt;"&amp;F198)+1)</f>
        <v>175</v>
      </c>
      <c r="B198" s="3" t="s">
        <v>216</v>
      </c>
      <c r="C198" s="4" t="s">
        <v>28</v>
      </c>
      <c r="D198" s="5" t="str">
        <f aca="false">IF(C198="","",IFERROR(INDEX(Summary!$B$2:$B$14,MATCH(C198,Summary!$A$2:$A$14,0)),"?"))</f>
        <v>Right Midfielder</v>
      </c>
      <c r="E198" s="5" t="str">
        <f aca="false">IF(C198="","",IFERROR(INDEX(Summary!$C$2:$C$14,MATCH(C198,Summary!$A$2:$A$14,0)),"?"))</f>
        <v>Centrocampo</v>
      </c>
      <c r="F198" s="6" t="n">
        <v>85</v>
      </c>
      <c r="H198" s="7" t="n">
        <f aca="false">IF(OR(B198="",F198=""),"",F198-ROW()/100000)</f>
        <v>84.99802</v>
      </c>
      <c r="I198" s="0" t="str">
        <f aca="false">IF(H198="","",C198&amp;"|"&amp;(COUNTIFS($C$2:$C$1000,C198,$H$2:$H$1000,"&gt;"&amp;H198)+1))</f>
        <v>RMF|13</v>
      </c>
    </row>
    <row r="199" customFormat="false" ht="15" hidden="false" customHeight="false" outlineLevel="0" collapsed="false">
      <c r="A199" s="2" t="n">
        <f aca="false">IF(F199="","",COUNTIF($F$2:$F$1000,"&gt;"&amp;F199)+1)</f>
        <v>175</v>
      </c>
      <c r="B199" s="3" t="s">
        <v>217</v>
      </c>
      <c r="C199" s="4" t="s">
        <v>31</v>
      </c>
      <c r="D199" s="5" t="str">
        <f aca="false">IF(C199="","",IFERROR(INDEX(Summary!$B$2:$B$14,MATCH(C199,Summary!$A$2:$A$14,0)),"?"))</f>
        <v>Attacking Midfielder</v>
      </c>
      <c r="E199" s="5" t="str">
        <f aca="false">IF(C199="","",IFERROR(INDEX(Summary!$C$2:$C$14,MATCH(C199,Summary!$A$2:$A$14,0)),"?"))</f>
        <v>Centrocampo</v>
      </c>
      <c r="F199" s="6" t="n">
        <v>85</v>
      </c>
      <c r="H199" s="7" t="n">
        <f aca="false">IF(OR(B199="",F199=""),"",F199-ROW()/100000)</f>
        <v>84.99801</v>
      </c>
      <c r="I199" s="0" t="str">
        <f aca="false">IF(H199="","",C199&amp;"|"&amp;(COUNTIFS($C$2:$C$1000,C199,$H$2:$H$1000,"&gt;"&amp;H199)+1))</f>
        <v>AMF|14</v>
      </c>
    </row>
    <row r="200" customFormat="false" ht="15" hidden="false" customHeight="false" outlineLevel="0" collapsed="false">
      <c r="A200" s="2" t="n">
        <f aca="false">IF(F200="","",COUNTIF($F$2:$F$1000,"&gt;"&amp;F200)+1)</f>
        <v>175</v>
      </c>
      <c r="B200" s="3" t="s">
        <v>218</v>
      </c>
      <c r="C200" s="4" t="s">
        <v>31</v>
      </c>
      <c r="D200" s="5" t="str">
        <f aca="false">IF(C200="","",IFERROR(INDEX(Summary!$B$2:$B$14,MATCH(C200,Summary!$A$2:$A$14,0)),"?"))</f>
        <v>Attacking Midfielder</v>
      </c>
      <c r="E200" s="5" t="str">
        <f aca="false">IF(C200="","",IFERROR(INDEX(Summary!$C$2:$C$14,MATCH(C200,Summary!$A$2:$A$14,0)),"?"))</f>
        <v>Centrocampo</v>
      </c>
      <c r="F200" s="6" t="n">
        <v>85</v>
      </c>
      <c r="H200" s="7" t="n">
        <f aca="false">IF(OR(B200="",F200=""),"",F200-ROW()/100000)</f>
        <v>84.998</v>
      </c>
      <c r="I200" s="0" t="str">
        <f aca="false">IF(H200="","",C200&amp;"|"&amp;(COUNTIFS($C$2:$C$1000,C200,$H$2:$H$1000,"&gt;"&amp;H200)+1))</f>
        <v>AMF|15</v>
      </c>
    </row>
    <row r="201" customFormat="false" ht="15" hidden="false" customHeight="false" outlineLevel="0" collapsed="false">
      <c r="A201" s="2" t="n">
        <f aca="false">IF(F201="","",COUNTIF($F$2:$F$1000,"&gt;"&amp;F201)+1)</f>
        <v>175</v>
      </c>
      <c r="B201" s="3" t="s">
        <v>219</v>
      </c>
      <c r="C201" s="4" t="s">
        <v>19</v>
      </c>
      <c r="D201" s="5" t="str">
        <f aca="false">IF(C201="","",IFERROR(INDEX(Summary!$B$2:$B$14,MATCH(C201,Summary!$A$2:$A$14,0)),"?"))</f>
        <v>Second Striker</v>
      </c>
      <c r="E201" s="5" t="str">
        <f aca="false">IF(C201="","",IFERROR(INDEX(Summary!$C$2:$C$14,MATCH(C201,Summary!$A$2:$A$14,0)),"?"))</f>
        <v>Attacco</v>
      </c>
      <c r="F201" s="6" t="n">
        <v>85</v>
      </c>
      <c r="H201" s="7" t="n">
        <f aca="false">IF(OR(B201="",F201=""),"",F201-ROW()/100000)</f>
        <v>84.99799</v>
      </c>
      <c r="I201" s="0" t="str">
        <f aca="false">IF(H201="","",C201&amp;"|"&amp;(COUNTIFS($C$2:$C$1000,C201,$H$2:$H$1000,"&gt;"&amp;H201)+1))</f>
        <v>SS|9</v>
      </c>
    </row>
    <row r="202" customFormat="false" ht="15" hidden="false" customHeight="false" outlineLevel="0" collapsed="false">
      <c r="A202" s="2" t="n">
        <f aca="false">IF(F202="","",COUNTIF($F$2:$F$1000,"&gt;"&amp;F202)+1)</f>
        <v>175</v>
      </c>
      <c r="B202" s="3" t="s">
        <v>220</v>
      </c>
      <c r="C202" s="4" t="s">
        <v>19</v>
      </c>
      <c r="D202" s="5" t="str">
        <f aca="false">IF(C202="","",IFERROR(INDEX(Summary!$B$2:$B$14,MATCH(C202,Summary!$A$2:$A$14,0)),"?"))</f>
        <v>Second Striker</v>
      </c>
      <c r="E202" s="5" t="str">
        <f aca="false">IF(C202="","",IFERROR(INDEX(Summary!$C$2:$C$14,MATCH(C202,Summary!$A$2:$A$14,0)),"?"))</f>
        <v>Attacco</v>
      </c>
      <c r="F202" s="6" t="n">
        <v>85</v>
      </c>
      <c r="H202" s="7" t="n">
        <f aca="false">IF(OR(B202="",F202=""),"",F202-ROW()/100000)</f>
        <v>84.99798</v>
      </c>
      <c r="I202" s="0" t="str">
        <f aca="false">IF(H202="","",C202&amp;"|"&amp;(COUNTIFS($C$2:$C$1000,C202,$H$2:$H$1000,"&gt;"&amp;H202)+1))</f>
        <v>SS|10</v>
      </c>
    </row>
    <row r="203" customFormat="false" ht="15" hidden="false" customHeight="false" outlineLevel="0" collapsed="false">
      <c r="A203" s="2" t="n">
        <f aca="false">IF(F203="","",COUNTIF($F$2:$F$1000,"&gt;"&amp;F203)+1)</f>
        <v>175</v>
      </c>
      <c r="B203" s="3" t="s">
        <v>221</v>
      </c>
      <c r="C203" s="4" t="s">
        <v>19</v>
      </c>
      <c r="D203" s="5" t="str">
        <f aca="false">IF(C203="","",IFERROR(INDEX(Summary!$B$2:$B$14,MATCH(C203,Summary!$A$2:$A$14,0)),"?"))</f>
        <v>Second Striker</v>
      </c>
      <c r="E203" s="5" t="str">
        <f aca="false">IF(C203="","",IFERROR(INDEX(Summary!$C$2:$C$14,MATCH(C203,Summary!$A$2:$A$14,0)),"?"))</f>
        <v>Attacco</v>
      </c>
      <c r="F203" s="6" t="n">
        <v>85</v>
      </c>
      <c r="H203" s="7" t="n">
        <f aca="false">IF(OR(B203="",F203=""),"",F203-ROW()/100000)</f>
        <v>84.99797</v>
      </c>
      <c r="I203" s="0" t="str">
        <f aca="false">IF(H203="","",C203&amp;"|"&amp;(COUNTIFS($C$2:$C$1000,C203,$H$2:$H$1000,"&gt;"&amp;H203)+1))</f>
        <v>SS|11</v>
      </c>
    </row>
    <row r="204" customFormat="false" ht="15" hidden="false" customHeight="false" outlineLevel="0" collapsed="false">
      <c r="A204" s="2" t="n">
        <f aca="false">IF(F204="","",COUNTIF($F$2:$F$1000,"&gt;"&amp;F204)+1)</f>
        <v>175</v>
      </c>
      <c r="B204" s="3" t="s">
        <v>222</v>
      </c>
      <c r="C204" s="4" t="s">
        <v>21</v>
      </c>
      <c r="D204" s="5" t="str">
        <f aca="false">IF(C204="","",IFERROR(INDEX(Summary!$B$2:$B$14,MATCH(C204,Summary!$A$2:$A$14,0)),"?"))</f>
        <v>Center Forward</v>
      </c>
      <c r="E204" s="5" t="str">
        <f aca="false">IF(C204="","",IFERROR(INDEX(Summary!$C$2:$C$14,MATCH(C204,Summary!$A$2:$A$14,0)),"?"))</f>
        <v>Attacco</v>
      </c>
      <c r="F204" s="6" t="n">
        <v>85</v>
      </c>
      <c r="H204" s="7" t="n">
        <f aca="false">IF(OR(B204="",F204=""),"",F204-ROW()/100000)</f>
        <v>84.99796</v>
      </c>
      <c r="I204" s="0" t="str">
        <f aca="false">IF(H204="","",C204&amp;"|"&amp;(COUNTIFS($C$2:$C$1000,C204,$H$2:$H$1000,"&gt;"&amp;H204)+1))</f>
        <v>CF|39</v>
      </c>
    </row>
    <row r="205" customFormat="false" ht="15" hidden="false" customHeight="false" outlineLevel="0" collapsed="false">
      <c r="A205" s="2" t="n">
        <f aca="false">IF(F205="","",COUNTIF($F$2:$F$1000,"&gt;"&amp;F205)+1)</f>
        <v>175</v>
      </c>
      <c r="B205" s="3" t="s">
        <v>223</v>
      </c>
      <c r="C205" s="4" t="s">
        <v>21</v>
      </c>
      <c r="D205" s="5" t="str">
        <f aca="false">IF(C205="","",IFERROR(INDEX(Summary!$B$2:$B$14,MATCH(C205,Summary!$A$2:$A$14,0)),"?"))</f>
        <v>Center Forward</v>
      </c>
      <c r="E205" s="5" t="str">
        <f aca="false">IF(C205="","",IFERROR(INDEX(Summary!$C$2:$C$14,MATCH(C205,Summary!$A$2:$A$14,0)),"?"))</f>
        <v>Attacco</v>
      </c>
      <c r="F205" s="6" t="n">
        <v>85</v>
      </c>
      <c r="H205" s="7" t="n">
        <f aca="false">IF(OR(B205="",F205=""),"",F205-ROW()/100000)</f>
        <v>84.99795</v>
      </c>
      <c r="I205" s="0" t="str">
        <f aca="false">IF(H205="","",C205&amp;"|"&amp;(COUNTIFS($C$2:$C$1000,C205,$H$2:$H$1000,"&gt;"&amp;H205)+1))</f>
        <v>CF|40</v>
      </c>
    </row>
    <row r="206" customFormat="false" ht="15" hidden="false" customHeight="false" outlineLevel="0" collapsed="false">
      <c r="A206" s="2" t="n">
        <f aca="false">IF(F206="","",COUNTIF($F$2:$F$1000,"&gt;"&amp;F206)+1)</f>
        <v>175</v>
      </c>
      <c r="B206" s="3" t="s">
        <v>224</v>
      </c>
      <c r="C206" s="4" t="s">
        <v>21</v>
      </c>
      <c r="D206" s="5" t="str">
        <f aca="false">IF(C206="","",IFERROR(INDEX(Summary!$B$2:$B$14,MATCH(C206,Summary!$A$2:$A$14,0)),"?"))</f>
        <v>Center Forward</v>
      </c>
      <c r="E206" s="5" t="str">
        <f aca="false">IF(C206="","",IFERROR(INDEX(Summary!$C$2:$C$14,MATCH(C206,Summary!$A$2:$A$14,0)),"?"))</f>
        <v>Attacco</v>
      </c>
      <c r="F206" s="6" t="n">
        <v>85</v>
      </c>
      <c r="H206" s="7" t="n">
        <f aca="false">IF(OR(B206="",F206=""),"",F206-ROW()/100000)</f>
        <v>84.99794</v>
      </c>
      <c r="I206" s="0" t="str">
        <f aca="false">IF(H206="","",C206&amp;"|"&amp;(COUNTIFS($C$2:$C$1000,C206,$H$2:$H$1000,"&gt;"&amp;H206)+1))</f>
        <v>CF|41</v>
      </c>
    </row>
    <row r="207" customFormat="false" ht="15" hidden="false" customHeight="false" outlineLevel="0" collapsed="false">
      <c r="A207" s="2" t="n">
        <f aca="false">IF(F207="","",COUNTIF($F$2:$F$1000,"&gt;"&amp;F207)+1)</f>
        <v>206</v>
      </c>
      <c r="B207" s="3" t="s">
        <v>225</v>
      </c>
      <c r="C207" s="4" t="s">
        <v>38</v>
      </c>
      <c r="D207" s="5" t="str">
        <f aca="false">IF(C207="","",IFERROR(INDEX(Summary!$B$2:$B$14,MATCH(C207,Summary!$A$2:$A$14,0)),"?"))</f>
        <v>Center Back</v>
      </c>
      <c r="E207" s="5" t="str">
        <f aca="false">IF(C207="","",IFERROR(INDEX(Summary!$C$2:$C$14,MATCH(C207,Summary!$A$2:$A$14,0)),"?"))</f>
        <v>Difensori</v>
      </c>
      <c r="F207" s="6" t="n">
        <v>84</v>
      </c>
      <c r="H207" s="7" t="n">
        <f aca="false">IF(OR(B207="",F207=""),"",F207-ROW()/100000)</f>
        <v>83.99793</v>
      </c>
      <c r="I207" s="0" t="str">
        <f aca="false">IF(H207="","",C207&amp;"|"&amp;(COUNTIFS($C$2:$C$1000,C207,$H$2:$H$1000,"&gt;"&amp;H207)+1))</f>
        <v>CB|38</v>
      </c>
    </row>
    <row r="208" customFormat="false" ht="15" hidden="false" customHeight="false" outlineLevel="0" collapsed="false">
      <c r="A208" s="2" t="n">
        <f aca="false">IF(F208="","",COUNTIF($F$2:$F$1000,"&gt;"&amp;F208)+1)</f>
        <v>206</v>
      </c>
      <c r="B208" s="3" t="s">
        <v>226</v>
      </c>
      <c r="C208" s="4" t="s">
        <v>23</v>
      </c>
      <c r="D208" s="5" t="str">
        <f aca="false">IF(C208="","",IFERROR(INDEX(Summary!$B$2:$B$14,MATCH(C208,Summary!$A$2:$A$14,0)),"?"))</f>
        <v>Left Back</v>
      </c>
      <c r="E208" s="5" t="str">
        <f aca="false">IF(C208="","",IFERROR(INDEX(Summary!$C$2:$C$14,MATCH(C208,Summary!$A$2:$A$14,0)),"?"))</f>
        <v>Difensori</v>
      </c>
      <c r="F208" s="6" t="n">
        <v>84</v>
      </c>
      <c r="H208" s="7" t="n">
        <f aca="false">IF(OR(B208="",F208=""),"",F208-ROW()/100000)</f>
        <v>83.99792</v>
      </c>
      <c r="I208" s="0" t="str">
        <f aca="false">IF(H208="","",C208&amp;"|"&amp;(COUNTIFS($C$2:$C$1000,C208,$H$2:$H$1000,"&gt;"&amp;H208)+1))</f>
        <v>LB|7</v>
      </c>
    </row>
    <row r="209" customFormat="false" ht="15" hidden="false" customHeight="false" outlineLevel="0" collapsed="false">
      <c r="A209" s="2" t="n">
        <f aca="false">IF(F209="","",COUNTIF($F$2:$F$1000,"&gt;"&amp;F209)+1)</f>
        <v>206</v>
      </c>
      <c r="B209" s="3" t="s">
        <v>227</v>
      </c>
      <c r="C209" s="4" t="s">
        <v>23</v>
      </c>
      <c r="D209" s="5" t="str">
        <f aca="false">IF(C209="","",IFERROR(INDEX(Summary!$B$2:$B$14,MATCH(C209,Summary!$A$2:$A$14,0)),"?"))</f>
        <v>Left Back</v>
      </c>
      <c r="E209" s="5" t="str">
        <f aca="false">IF(C209="","",IFERROR(INDEX(Summary!$C$2:$C$14,MATCH(C209,Summary!$A$2:$A$14,0)),"?"))</f>
        <v>Difensori</v>
      </c>
      <c r="F209" s="6" t="n">
        <v>84</v>
      </c>
      <c r="H209" s="7" t="n">
        <f aca="false">IF(OR(B209="",F209=""),"",F209-ROW()/100000)</f>
        <v>83.99791</v>
      </c>
      <c r="I209" s="0" t="str">
        <f aca="false">IF(H209="","",C209&amp;"|"&amp;(COUNTIFS($C$2:$C$1000,C209,$H$2:$H$1000,"&gt;"&amp;H209)+1))</f>
        <v>LB|8</v>
      </c>
    </row>
    <row r="210" customFormat="false" ht="15" hidden="false" customHeight="false" outlineLevel="0" collapsed="false">
      <c r="A210" s="2" t="n">
        <f aca="false">IF(F210="","",COUNTIF($F$2:$F$1000,"&gt;"&amp;F210)+1)</f>
        <v>206</v>
      </c>
      <c r="B210" s="3" t="s">
        <v>228</v>
      </c>
      <c r="C210" s="4" t="s">
        <v>23</v>
      </c>
      <c r="D210" s="5" t="str">
        <f aca="false">IF(C210="","",IFERROR(INDEX(Summary!$B$2:$B$14,MATCH(C210,Summary!$A$2:$A$14,0)),"?"))</f>
        <v>Left Back</v>
      </c>
      <c r="E210" s="5" t="str">
        <f aca="false">IF(C210="","",IFERROR(INDEX(Summary!$C$2:$C$14,MATCH(C210,Summary!$A$2:$A$14,0)),"?"))</f>
        <v>Difensori</v>
      </c>
      <c r="F210" s="6" t="n">
        <v>84</v>
      </c>
      <c r="H210" s="7" t="n">
        <f aca="false">IF(OR(B210="",F210=""),"",F210-ROW()/100000)</f>
        <v>83.9979</v>
      </c>
      <c r="I210" s="0" t="str">
        <f aca="false">IF(H210="","",C210&amp;"|"&amp;(COUNTIFS($C$2:$C$1000,C210,$H$2:$H$1000,"&gt;"&amp;H210)+1))</f>
        <v>LB|9</v>
      </c>
    </row>
    <row r="211" customFormat="false" ht="15" hidden="false" customHeight="false" outlineLevel="0" collapsed="false">
      <c r="A211" s="2" t="n">
        <f aca="false">IF(F211="","",COUNTIF($F$2:$F$1000,"&gt;"&amp;F211)+1)</f>
        <v>206</v>
      </c>
      <c r="B211" s="3" t="s">
        <v>229</v>
      </c>
      <c r="C211" s="4" t="s">
        <v>23</v>
      </c>
      <c r="D211" s="5" t="str">
        <f aca="false">IF(C211="","",IFERROR(INDEX(Summary!$B$2:$B$14,MATCH(C211,Summary!$A$2:$A$14,0)),"?"))</f>
        <v>Left Back</v>
      </c>
      <c r="E211" s="5" t="str">
        <f aca="false">IF(C211="","",IFERROR(INDEX(Summary!$C$2:$C$14,MATCH(C211,Summary!$A$2:$A$14,0)),"?"))</f>
        <v>Difensori</v>
      </c>
      <c r="F211" s="6" t="n">
        <v>84</v>
      </c>
      <c r="H211" s="7" t="n">
        <f aca="false">IF(OR(B211="",F211=""),"",F211-ROW()/100000)</f>
        <v>83.99789</v>
      </c>
      <c r="I211" s="0" t="str">
        <f aca="false">IF(H211="","",C211&amp;"|"&amp;(COUNTIFS($C$2:$C$1000,C211,$H$2:$H$1000,"&gt;"&amp;H211)+1))</f>
        <v>LB|10</v>
      </c>
    </row>
    <row r="212" customFormat="false" ht="15" hidden="false" customHeight="false" outlineLevel="0" collapsed="false">
      <c r="A212" s="2" t="n">
        <f aca="false">IF(F212="","",COUNTIF($F$2:$F$1000,"&gt;"&amp;F212)+1)</f>
        <v>206</v>
      </c>
      <c r="B212" s="3" t="s">
        <v>230</v>
      </c>
      <c r="C212" s="4" t="s">
        <v>61</v>
      </c>
      <c r="D212" s="5" t="str">
        <f aca="false">IF(C212="","",IFERROR(INDEX(Summary!$B$2:$B$14,MATCH(C212,Summary!$A$2:$A$14,0)),"?"))</f>
        <v>Right Back</v>
      </c>
      <c r="E212" s="5" t="str">
        <f aca="false">IF(C212="","",IFERROR(INDEX(Summary!$C$2:$C$14,MATCH(C212,Summary!$A$2:$A$14,0)),"?"))</f>
        <v>Difensori</v>
      </c>
      <c r="F212" s="6" t="n">
        <v>84</v>
      </c>
      <c r="H212" s="7" t="n">
        <f aca="false">IF(OR(B212="",F212=""),"",F212-ROW()/100000)</f>
        <v>83.99788</v>
      </c>
      <c r="I212" s="0" t="str">
        <f aca="false">IF(H212="","",C212&amp;"|"&amp;(COUNTIFS($C$2:$C$1000,C212,$H$2:$H$1000,"&gt;"&amp;H212)+1))</f>
        <v>RB|10</v>
      </c>
    </row>
    <row r="213" customFormat="false" ht="15" hidden="false" customHeight="false" outlineLevel="0" collapsed="false">
      <c r="A213" s="2" t="n">
        <f aca="false">IF(F213="","",COUNTIF($F$2:$F$1000,"&gt;"&amp;F213)+1)</f>
        <v>206</v>
      </c>
      <c r="B213" s="3" t="s">
        <v>231</v>
      </c>
      <c r="C213" s="4" t="s">
        <v>51</v>
      </c>
      <c r="D213" s="5" t="str">
        <f aca="false">IF(C213="","",IFERROR(INDEX(Summary!$B$2:$B$14,MATCH(C213,Summary!$A$2:$A$14,0)),"?"))</f>
        <v>Defensive Midfielder</v>
      </c>
      <c r="E213" s="5" t="str">
        <f aca="false">IF(C213="","",IFERROR(INDEX(Summary!$C$2:$C$14,MATCH(C213,Summary!$A$2:$A$14,0)),"?"))</f>
        <v>Centrocampo</v>
      </c>
      <c r="F213" s="6" t="n">
        <v>84</v>
      </c>
      <c r="H213" s="7" t="n">
        <f aca="false">IF(OR(B213="",F213=""),"",F213-ROW()/100000)</f>
        <v>83.99787</v>
      </c>
      <c r="I213" s="0" t="str">
        <f aca="false">IF(H213="","",C213&amp;"|"&amp;(COUNTIFS($C$2:$C$1000,C213,$H$2:$H$1000,"&gt;"&amp;H213)+1))</f>
        <v>DMF|18</v>
      </c>
    </row>
    <row r="214" customFormat="false" ht="15" hidden="false" customHeight="false" outlineLevel="0" collapsed="false">
      <c r="A214" s="2" t="n">
        <f aca="false">IF(F214="","",COUNTIF($F$2:$F$1000,"&gt;"&amp;F214)+1)</f>
        <v>206</v>
      </c>
      <c r="B214" s="3" t="s">
        <v>232</v>
      </c>
      <c r="C214" s="4" t="s">
        <v>51</v>
      </c>
      <c r="D214" s="5" t="str">
        <f aca="false">IF(C214="","",IFERROR(INDEX(Summary!$B$2:$B$14,MATCH(C214,Summary!$A$2:$A$14,0)),"?"))</f>
        <v>Defensive Midfielder</v>
      </c>
      <c r="E214" s="5" t="str">
        <f aca="false">IF(C214="","",IFERROR(INDEX(Summary!$C$2:$C$14,MATCH(C214,Summary!$A$2:$A$14,0)),"?"))</f>
        <v>Centrocampo</v>
      </c>
      <c r="F214" s="6" t="n">
        <v>84</v>
      </c>
      <c r="H214" s="7" t="n">
        <f aca="false">IF(OR(B214="",F214=""),"",F214-ROW()/100000)</f>
        <v>83.99786</v>
      </c>
      <c r="I214" s="0" t="str">
        <f aca="false">IF(H214="","",C214&amp;"|"&amp;(COUNTIFS($C$2:$C$1000,C214,$H$2:$H$1000,"&gt;"&amp;H214)+1))</f>
        <v>DMF|19</v>
      </c>
    </row>
    <row r="215" customFormat="false" ht="15" hidden="false" customHeight="false" outlineLevel="0" collapsed="false">
      <c r="A215" s="2" t="n">
        <f aca="false">IF(F215="","",COUNTIF($F$2:$F$1000,"&gt;"&amp;F215)+1)</f>
        <v>206</v>
      </c>
      <c r="B215" s="3" t="s">
        <v>233</v>
      </c>
      <c r="C215" s="4" t="s">
        <v>51</v>
      </c>
      <c r="D215" s="5" t="str">
        <f aca="false">IF(C215="","",IFERROR(INDEX(Summary!$B$2:$B$14,MATCH(C215,Summary!$A$2:$A$14,0)),"?"))</f>
        <v>Defensive Midfielder</v>
      </c>
      <c r="E215" s="5" t="str">
        <f aca="false">IF(C215="","",IFERROR(INDEX(Summary!$C$2:$C$14,MATCH(C215,Summary!$A$2:$A$14,0)),"?"))</f>
        <v>Centrocampo</v>
      </c>
      <c r="F215" s="6" t="n">
        <v>84</v>
      </c>
      <c r="H215" s="7" t="n">
        <f aca="false">IF(OR(B215="",F215=""),"",F215-ROW()/100000)</f>
        <v>83.99785</v>
      </c>
      <c r="I215" s="0" t="str">
        <f aca="false">IF(H215="","",C215&amp;"|"&amp;(COUNTIFS($C$2:$C$1000,C215,$H$2:$H$1000,"&gt;"&amp;H215)+1))</f>
        <v>DMF|20</v>
      </c>
    </row>
    <row r="216" customFormat="false" ht="15" hidden="false" customHeight="false" outlineLevel="0" collapsed="false">
      <c r="A216" s="2" t="n">
        <f aca="false">IF(F216="","",COUNTIF($F$2:$F$1000,"&gt;"&amp;F216)+1)</f>
        <v>206</v>
      </c>
      <c r="B216" s="3" t="s">
        <v>234</v>
      </c>
      <c r="C216" s="4" t="s">
        <v>51</v>
      </c>
      <c r="D216" s="5" t="str">
        <f aca="false">IF(C216="","",IFERROR(INDEX(Summary!$B$2:$B$14,MATCH(C216,Summary!$A$2:$A$14,0)),"?"))</f>
        <v>Defensive Midfielder</v>
      </c>
      <c r="E216" s="5" t="str">
        <f aca="false">IF(C216="","",IFERROR(INDEX(Summary!$C$2:$C$14,MATCH(C216,Summary!$A$2:$A$14,0)),"?"))</f>
        <v>Centrocampo</v>
      </c>
      <c r="F216" s="6" t="n">
        <v>84</v>
      </c>
      <c r="H216" s="7" t="n">
        <f aca="false">IF(OR(B216="",F216=""),"",F216-ROW()/100000)</f>
        <v>83.99784</v>
      </c>
      <c r="I216" s="0" t="str">
        <f aca="false">IF(H216="","",C216&amp;"|"&amp;(COUNTIFS($C$2:$C$1000,C216,$H$2:$H$1000,"&gt;"&amp;H216)+1))</f>
        <v>DMF|21</v>
      </c>
    </row>
    <row r="217" customFormat="false" ht="15" hidden="false" customHeight="false" outlineLevel="0" collapsed="false">
      <c r="A217" s="2" t="n">
        <f aca="false">IF(F217="","",COUNTIF($F$2:$F$1000,"&gt;"&amp;F217)+1)</f>
        <v>206</v>
      </c>
      <c r="B217" s="3" t="s">
        <v>235</v>
      </c>
      <c r="C217" s="4" t="s">
        <v>11</v>
      </c>
      <c r="D217" s="5" t="str">
        <f aca="false">IF(C217="","",IFERROR(INDEX(Summary!$B$2:$B$14,MATCH(C217,Summary!$A$2:$A$14,0)),"?"))</f>
        <v>Central Midfielder</v>
      </c>
      <c r="E217" s="5" t="str">
        <f aca="false">IF(C217="","",IFERROR(INDEX(Summary!$C$2:$C$14,MATCH(C217,Summary!$A$2:$A$14,0)),"?"))</f>
        <v>Centrocampo</v>
      </c>
      <c r="F217" s="6" t="n">
        <v>84</v>
      </c>
      <c r="H217" s="7" t="n">
        <f aca="false">IF(OR(B217="",F217=""),"",F217-ROW()/100000)</f>
        <v>83.99783</v>
      </c>
      <c r="I217" s="0" t="str">
        <f aca="false">IF(H217="","",C217&amp;"|"&amp;(COUNTIFS($C$2:$C$1000,C217,$H$2:$H$1000,"&gt;"&amp;H217)+1))</f>
        <v>CMF|15</v>
      </c>
    </row>
    <row r="218" customFormat="false" ht="15" hidden="false" customHeight="false" outlineLevel="0" collapsed="false">
      <c r="A218" s="2" t="n">
        <f aca="false">IF(F218="","",COUNTIF($F$2:$F$1000,"&gt;"&amp;F218)+1)</f>
        <v>206</v>
      </c>
      <c r="B218" s="3" t="s">
        <v>236</v>
      </c>
      <c r="C218" s="4" t="s">
        <v>11</v>
      </c>
      <c r="D218" s="5" t="str">
        <f aca="false">IF(C218="","",IFERROR(INDEX(Summary!$B$2:$B$14,MATCH(C218,Summary!$A$2:$A$14,0)),"?"))</f>
        <v>Central Midfielder</v>
      </c>
      <c r="E218" s="5" t="str">
        <f aca="false">IF(C218="","",IFERROR(INDEX(Summary!$C$2:$C$14,MATCH(C218,Summary!$A$2:$A$14,0)),"?"))</f>
        <v>Centrocampo</v>
      </c>
      <c r="F218" s="6" t="n">
        <v>84</v>
      </c>
      <c r="H218" s="7" t="n">
        <f aca="false">IF(OR(B218="",F218=""),"",F218-ROW()/100000)</f>
        <v>83.99782</v>
      </c>
      <c r="I218" s="0" t="str">
        <f aca="false">IF(H218="","",C218&amp;"|"&amp;(COUNTIFS($C$2:$C$1000,C218,$H$2:$H$1000,"&gt;"&amp;H218)+1))</f>
        <v>CMF|16</v>
      </c>
    </row>
    <row r="219" customFormat="false" ht="15" hidden="false" customHeight="false" outlineLevel="0" collapsed="false">
      <c r="A219" s="2" t="n">
        <f aca="false">IF(F219="","",COUNTIF($F$2:$F$1000,"&gt;"&amp;F219)+1)</f>
        <v>206</v>
      </c>
      <c r="B219" s="3" t="s">
        <v>237</v>
      </c>
      <c r="C219" s="4" t="s">
        <v>42</v>
      </c>
      <c r="D219" s="5" t="str">
        <f aca="false">IF(C219="","",IFERROR(INDEX(Summary!$B$2:$B$14,MATCH(C219,Summary!$A$2:$A$14,0)),"?"))</f>
        <v>Left Midfielder</v>
      </c>
      <c r="E219" s="5" t="str">
        <f aca="false">IF(C219="","",IFERROR(INDEX(Summary!$C$2:$C$14,MATCH(C219,Summary!$A$2:$A$14,0)),"?"))</f>
        <v>Centrocampo</v>
      </c>
      <c r="F219" s="6" t="n">
        <v>84</v>
      </c>
      <c r="H219" s="7" t="n">
        <f aca="false">IF(OR(B219="",F219=""),"",F219-ROW()/100000)</f>
        <v>83.99781</v>
      </c>
      <c r="I219" s="0" t="str">
        <f aca="false">IF(H219="","",C219&amp;"|"&amp;(COUNTIFS($C$2:$C$1000,C219,$H$2:$H$1000,"&gt;"&amp;H219)+1))</f>
        <v>LMF|13</v>
      </c>
    </row>
    <row r="220" customFormat="false" ht="15" hidden="false" customHeight="false" outlineLevel="0" collapsed="false">
      <c r="A220" s="2" t="n">
        <f aca="false">IF(F220="","",COUNTIF($F$2:$F$1000,"&gt;"&amp;F220)+1)</f>
        <v>206</v>
      </c>
      <c r="B220" s="3" t="s">
        <v>238</v>
      </c>
      <c r="C220" s="4" t="s">
        <v>42</v>
      </c>
      <c r="D220" s="5" t="str">
        <f aca="false">IF(C220="","",IFERROR(INDEX(Summary!$B$2:$B$14,MATCH(C220,Summary!$A$2:$A$14,0)),"?"))</f>
        <v>Left Midfielder</v>
      </c>
      <c r="E220" s="5" t="str">
        <f aca="false">IF(C220="","",IFERROR(INDEX(Summary!$C$2:$C$14,MATCH(C220,Summary!$A$2:$A$14,0)),"?"))</f>
        <v>Centrocampo</v>
      </c>
      <c r="F220" s="6" t="n">
        <v>84</v>
      </c>
      <c r="H220" s="7" t="n">
        <f aca="false">IF(OR(B220="",F220=""),"",F220-ROW()/100000)</f>
        <v>83.9978</v>
      </c>
      <c r="I220" s="0" t="str">
        <f aca="false">IF(H220="","",C220&amp;"|"&amp;(COUNTIFS($C$2:$C$1000,C220,$H$2:$H$1000,"&gt;"&amp;H220)+1))</f>
        <v>LMF|14</v>
      </c>
    </row>
    <row r="221" customFormat="false" ht="15" hidden="false" customHeight="false" outlineLevel="0" collapsed="false">
      <c r="A221" s="2" t="n">
        <f aca="false">IF(F221="","",COUNTIF($F$2:$F$1000,"&gt;"&amp;F221)+1)</f>
        <v>206</v>
      </c>
      <c r="B221" s="3" t="s">
        <v>239</v>
      </c>
      <c r="C221" s="4" t="s">
        <v>28</v>
      </c>
      <c r="D221" s="5" t="str">
        <f aca="false">IF(C221="","",IFERROR(INDEX(Summary!$B$2:$B$14,MATCH(C221,Summary!$A$2:$A$14,0)),"?"))</f>
        <v>Right Midfielder</v>
      </c>
      <c r="E221" s="5" t="str">
        <f aca="false">IF(C221="","",IFERROR(INDEX(Summary!$C$2:$C$14,MATCH(C221,Summary!$A$2:$A$14,0)),"?"))</f>
        <v>Centrocampo</v>
      </c>
      <c r="F221" s="6" t="n">
        <v>84</v>
      </c>
      <c r="H221" s="7" t="n">
        <f aca="false">IF(OR(B221="",F221=""),"",F221-ROW()/100000)</f>
        <v>83.99779</v>
      </c>
      <c r="I221" s="0" t="str">
        <f aca="false">IF(H221="","",C221&amp;"|"&amp;(COUNTIFS($C$2:$C$1000,C221,$H$2:$H$1000,"&gt;"&amp;H221)+1))</f>
        <v>RMF|14</v>
      </c>
    </row>
    <row r="222" customFormat="false" ht="15" hidden="false" customHeight="false" outlineLevel="0" collapsed="false">
      <c r="A222" s="2" t="n">
        <f aca="false">IF(F222="","",COUNTIF($F$2:$F$1000,"&gt;"&amp;F222)+1)</f>
        <v>206</v>
      </c>
      <c r="B222" s="3" t="s">
        <v>240</v>
      </c>
      <c r="C222" s="4" t="s">
        <v>28</v>
      </c>
      <c r="D222" s="5" t="str">
        <f aca="false">IF(C222="","",IFERROR(INDEX(Summary!$B$2:$B$14,MATCH(C222,Summary!$A$2:$A$14,0)),"?"))</f>
        <v>Right Midfielder</v>
      </c>
      <c r="E222" s="5" t="str">
        <f aca="false">IF(C222="","",IFERROR(INDEX(Summary!$C$2:$C$14,MATCH(C222,Summary!$A$2:$A$14,0)),"?"))</f>
        <v>Centrocampo</v>
      </c>
      <c r="F222" s="6" t="n">
        <v>84</v>
      </c>
      <c r="H222" s="7" t="n">
        <f aca="false">IF(OR(B222="",F222=""),"",F222-ROW()/100000)</f>
        <v>83.99778</v>
      </c>
      <c r="I222" s="0" t="str">
        <f aca="false">IF(H222="","",C222&amp;"|"&amp;(COUNTIFS($C$2:$C$1000,C222,$H$2:$H$1000,"&gt;"&amp;H222)+1))</f>
        <v>RMF|15</v>
      </c>
    </row>
    <row r="223" customFormat="false" ht="15" hidden="false" customHeight="false" outlineLevel="0" collapsed="false">
      <c r="A223" s="2" t="n">
        <f aca="false">IF(F223="","",COUNTIF($F$2:$F$1000,"&gt;"&amp;F223)+1)</f>
        <v>206</v>
      </c>
      <c r="B223" s="3" t="s">
        <v>241</v>
      </c>
      <c r="C223" s="4" t="s">
        <v>28</v>
      </c>
      <c r="D223" s="5" t="str">
        <f aca="false">IF(C223="","",IFERROR(INDEX(Summary!$B$2:$B$14,MATCH(C223,Summary!$A$2:$A$14,0)),"?"))</f>
        <v>Right Midfielder</v>
      </c>
      <c r="E223" s="5" t="str">
        <f aca="false">IF(C223="","",IFERROR(INDEX(Summary!$C$2:$C$14,MATCH(C223,Summary!$A$2:$A$14,0)),"?"))</f>
        <v>Centrocampo</v>
      </c>
      <c r="F223" s="6" t="n">
        <v>84</v>
      </c>
      <c r="H223" s="7" t="n">
        <f aca="false">IF(OR(B223="",F223=""),"",F223-ROW()/100000)</f>
        <v>83.99777</v>
      </c>
      <c r="I223" s="0" t="str">
        <f aca="false">IF(H223="","",C223&amp;"|"&amp;(COUNTIFS($C$2:$C$1000,C223,$H$2:$H$1000,"&gt;"&amp;H223)+1))</f>
        <v>RMF|16</v>
      </c>
    </row>
    <row r="224" customFormat="false" ht="15" hidden="false" customHeight="false" outlineLevel="0" collapsed="false">
      <c r="A224" s="2" t="n">
        <f aca="false">IF(F224="","",COUNTIF($F$2:$F$1000,"&gt;"&amp;F224)+1)</f>
        <v>206</v>
      </c>
      <c r="B224" s="3" t="s">
        <v>242</v>
      </c>
      <c r="C224" s="4" t="s">
        <v>28</v>
      </c>
      <c r="D224" s="5" t="str">
        <f aca="false">IF(C224="","",IFERROR(INDEX(Summary!$B$2:$B$14,MATCH(C224,Summary!$A$2:$A$14,0)),"?"))</f>
        <v>Right Midfielder</v>
      </c>
      <c r="E224" s="5" t="str">
        <f aca="false">IF(C224="","",IFERROR(INDEX(Summary!$C$2:$C$14,MATCH(C224,Summary!$A$2:$A$14,0)),"?"))</f>
        <v>Centrocampo</v>
      </c>
      <c r="F224" s="6" t="n">
        <v>84</v>
      </c>
      <c r="H224" s="7" t="n">
        <f aca="false">IF(OR(B224="",F224=""),"",F224-ROW()/100000)</f>
        <v>83.99776</v>
      </c>
      <c r="I224" s="0" t="str">
        <f aca="false">IF(H224="","",C224&amp;"|"&amp;(COUNTIFS($C$2:$C$1000,C224,$H$2:$H$1000,"&gt;"&amp;H224)+1))</f>
        <v>RMF|17</v>
      </c>
    </row>
    <row r="225" customFormat="false" ht="15" hidden="false" customHeight="false" outlineLevel="0" collapsed="false">
      <c r="A225" s="2" t="n">
        <f aca="false">IF(F225="","",COUNTIF($F$2:$F$1000,"&gt;"&amp;F225)+1)</f>
        <v>206</v>
      </c>
      <c r="B225" s="3" t="s">
        <v>243</v>
      </c>
      <c r="C225" s="4" t="s">
        <v>31</v>
      </c>
      <c r="D225" s="5" t="str">
        <f aca="false">IF(C225="","",IFERROR(INDEX(Summary!$B$2:$B$14,MATCH(C225,Summary!$A$2:$A$14,0)),"?"))</f>
        <v>Attacking Midfielder</v>
      </c>
      <c r="E225" s="5" t="str">
        <f aca="false">IF(C225="","",IFERROR(INDEX(Summary!$C$2:$C$14,MATCH(C225,Summary!$A$2:$A$14,0)),"?"))</f>
        <v>Centrocampo</v>
      </c>
      <c r="F225" s="6" t="n">
        <v>84</v>
      </c>
      <c r="H225" s="7" t="n">
        <f aca="false">IF(OR(B225="",F225=""),"",F225-ROW()/100000)</f>
        <v>83.99775</v>
      </c>
      <c r="I225" s="0" t="str">
        <f aca="false">IF(H225="","",C225&amp;"|"&amp;(COUNTIFS($C$2:$C$1000,C225,$H$2:$H$1000,"&gt;"&amp;H225)+1))</f>
        <v>AMF|16</v>
      </c>
    </row>
    <row r="226" customFormat="false" ht="15" hidden="false" customHeight="false" outlineLevel="0" collapsed="false">
      <c r="A226" s="2" t="n">
        <f aca="false">IF(F226="","",COUNTIF($F$2:$F$1000,"&gt;"&amp;F226)+1)</f>
        <v>206</v>
      </c>
      <c r="B226" s="3" t="s">
        <v>244</v>
      </c>
      <c r="C226" s="4" t="s">
        <v>31</v>
      </c>
      <c r="D226" s="5" t="str">
        <f aca="false">IF(C226="","",IFERROR(INDEX(Summary!$B$2:$B$14,MATCH(C226,Summary!$A$2:$A$14,0)),"?"))</f>
        <v>Attacking Midfielder</v>
      </c>
      <c r="E226" s="5" t="str">
        <f aca="false">IF(C226="","",IFERROR(INDEX(Summary!$C$2:$C$14,MATCH(C226,Summary!$A$2:$A$14,0)),"?"))</f>
        <v>Centrocampo</v>
      </c>
      <c r="F226" s="6" t="n">
        <v>84</v>
      </c>
      <c r="H226" s="7" t="n">
        <f aca="false">IF(OR(B226="",F226=""),"",F226-ROW()/100000)</f>
        <v>83.99774</v>
      </c>
      <c r="I226" s="0" t="str">
        <f aca="false">IF(H226="","",C226&amp;"|"&amp;(COUNTIFS($C$2:$C$1000,C226,$H$2:$H$1000,"&gt;"&amp;H226)+1))</f>
        <v>AMF|17</v>
      </c>
    </row>
    <row r="227" customFormat="false" ht="15" hidden="false" customHeight="false" outlineLevel="0" collapsed="false">
      <c r="A227" s="2" t="n">
        <f aca="false">IF(F227="","",COUNTIF($F$2:$F$1000,"&gt;"&amp;F227)+1)</f>
        <v>206</v>
      </c>
      <c r="B227" s="3" t="s">
        <v>245</v>
      </c>
      <c r="C227" s="4" t="s">
        <v>31</v>
      </c>
      <c r="D227" s="5" t="str">
        <f aca="false">IF(C227="","",IFERROR(INDEX(Summary!$B$2:$B$14,MATCH(C227,Summary!$A$2:$A$14,0)),"?"))</f>
        <v>Attacking Midfielder</v>
      </c>
      <c r="E227" s="5" t="str">
        <f aca="false">IF(C227="","",IFERROR(INDEX(Summary!$C$2:$C$14,MATCH(C227,Summary!$A$2:$A$14,0)),"?"))</f>
        <v>Centrocampo</v>
      </c>
      <c r="F227" s="6" t="n">
        <v>84</v>
      </c>
      <c r="H227" s="7" t="n">
        <f aca="false">IF(OR(B227="",F227=""),"",F227-ROW()/100000)</f>
        <v>83.99773</v>
      </c>
      <c r="I227" s="0" t="str">
        <f aca="false">IF(H227="","",C227&amp;"|"&amp;(COUNTIFS($C$2:$C$1000,C227,$H$2:$H$1000,"&gt;"&amp;H227)+1))</f>
        <v>AMF|18</v>
      </c>
    </row>
    <row r="228" customFormat="false" ht="15" hidden="false" customHeight="false" outlineLevel="0" collapsed="false">
      <c r="A228" s="2" t="n">
        <f aca="false">IF(F228="","",COUNTIF($F$2:$F$1000,"&gt;"&amp;F228)+1)</f>
        <v>206</v>
      </c>
      <c r="B228" s="3" t="s">
        <v>246</v>
      </c>
      <c r="C228" s="4" t="s">
        <v>15</v>
      </c>
      <c r="D228" s="5" t="str">
        <f aca="false">IF(C228="","",IFERROR(INDEX(Summary!$B$2:$B$14,MATCH(C228,Summary!$A$2:$A$14,0)),"?"))</f>
        <v>Left Wing Forward</v>
      </c>
      <c r="E228" s="5" t="str">
        <f aca="false">IF(C228="","",IFERROR(INDEX(Summary!$C$2:$C$14,MATCH(C228,Summary!$A$2:$A$14,0)),"?"))</f>
        <v>Attacco</v>
      </c>
      <c r="F228" s="6" t="n">
        <v>84</v>
      </c>
      <c r="H228" s="7" t="n">
        <f aca="false">IF(OR(B228="",F228=""),"",F228-ROW()/100000)</f>
        <v>83.99772</v>
      </c>
      <c r="I228" s="0" t="str">
        <f aca="false">IF(H228="","",C228&amp;"|"&amp;(COUNTIFS($C$2:$C$1000,C228,$H$2:$H$1000,"&gt;"&amp;H228)+1))</f>
        <v>LWF|8</v>
      </c>
    </row>
    <row r="229" customFormat="false" ht="15" hidden="false" customHeight="false" outlineLevel="0" collapsed="false">
      <c r="A229" s="2" t="n">
        <f aca="false">IF(F229="","",COUNTIF($F$2:$F$1000,"&gt;"&amp;F229)+1)</f>
        <v>206</v>
      </c>
      <c r="B229" s="3" t="s">
        <v>247</v>
      </c>
      <c r="C229" s="4" t="s">
        <v>19</v>
      </c>
      <c r="D229" s="5" t="str">
        <f aca="false">IF(C229="","",IFERROR(INDEX(Summary!$B$2:$B$14,MATCH(C229,Summary!$A$2:$A$14,0)),"?"))</f>
        <v>Second Striker</v>
      </c>
      <c r="E229" s="5" t="str">
        <f aca="false">IF(C229="","",IFERROR(INDEX(Summary!$C$2:$C$14,MATCH(C229,Summary!$A$2:$A$14,0)),"?"))</f>
        <v>Attacco</v>
      </c>
      <c r="F229" s="6" t="n">
        <v>84</v>
      </c>
      <c r="H229" s="7" t="n">
        <f aca="false">IF(OR(B229="",F229=""),"",F229-ROW()/100000)</f>
        <v>83.99771</v>
      </c>
      <c r="I229" s="0" t="str">
        <f aca="false">IF(H229="","",C229&amp;"|"&amp;(COUNTIFS($C$2:$C$1000,C229,$H$2:$H$1000,"&gt;"&amp;H229)+1))</f>
        <v>SS|12</v>
      </c>
    </row>
    <row r="230" customFormat="false" ht="15" hidden="false" customHeight="false" outlineLevel="0" collapsed="false">
      <c r="A230" s="2" t="n">
        <f aca="false">IF(F230="","",COUNTIF($F$2:$F$1000,"&gt;"&amp;F230)+1)</f>
        <v>206</v>
      </c>
      <c r="B230" s="3" t="s">
        <v>248</v>
      </c>
      <c r="C230" s="4" t="s">
        <v>21</v>
      </c>
      <c r="D230" s="5" t="str">
        <f aca="false">IF(C230="","",IFERROR(INDEX(Summary!$B$2:$B$14,MATCH(C230,Summary!$A$2:$A$14,0)),"?"))</f>
        <v>Center Forward</v>
      </c>
      <c r="E230" s="5" t="str">
        <f aca="false">IF(C230="","",IFERROR(INDEX(Summary!$C$2:$C$14,MATCH(C230,Summary!$A$2:$A$14,0)),"?"))</f>
        <v>Attacco</v>
      </c>
      <c r="F230" s="6" t="n">
        <v>84</v>
      </c>
      <c r="H230" s="7" t="n">
        <f aca="false">IF(OR(B230="",F230=""),"",F230-ROW()/100000)</f>
        <v>83.9977</v>
      </c>
      <c r="I230" s="0" t="str">
        <f aca="false">IF(H230="","",C230&amp;"|"&amp;(COUNTIFS($C$2:$C$1000,C230,$H$2:$H$1000,"&gt;"&amp;H230)+1))</f>
        <v>CF|42</v>
      </c>
    </row>
    <row r="231" customFormat="false" ht="15" hidden="false" customHeight="false" outlineLevel="0" collapsed="false">
      <c r="A231" s="2" t="n">
        <f aca="false">IF(F231="","",COUNTIF($F$2:$F$1000,"&gt;"&amp;F231)+1)</f>
        <v>206</v>
      </c>
      <c r="B231" s="3" t="s">
        <v>249</v>
      </c>
      <c r="C231" s="4" t="s">
        <v>21</v>
      </c>
      <c r="D231" s="5" t="str">
        <f aca="false">IF(C231="","",IFERROR(INDEX(Summary!$B$2:$B$14,MATCH(C231,Summary!$A$2:$A$14,0)),"?"))</f>
        <v>Center Forward</v>
      </c>
      <c r="E231" s="5" t="str">
        <f aca="false">IF(C231="","",IFERROR(INDEX(Summary!$C$2:$C$14,MATCH(C231,Summary!$A$2:$A$14,0)),"?"))</f>
        <v>Attacco</v>
      </c>
      <c r="F231" s="6" t="n">
        <v>84</v>
      </c>
      <c r="H231" s="7" t="n">
        <f aca="false">IF(OR(B231="",F231=""),"",F231-ROW()/100000)</f>
        <v>83.99769</v>
      </c>
      <c r="I231" s="0" t="str">
        <f aca="false">IF(H231="","",C231&amp;"|"&amp;(COUNTIFS($C$2:$C$1000,C231,$H$2:$H$1000,"&gt;"&amp;H231)+1))</f>
        <v>CF|43</v>
      </c>
    </row>
    <row r="232" customFormat="false" ht="15" hidden="false" customHeight="false" outlineLevel="0" collapsed="false">
      <c r="A232" s="2" t="n">
        <f aca="false">IF(F232="","",COUNTIF($F$2:$F$1000,"&gt;"&amp;F232)+1)</f>
        <v>206</v>
      </c>
      <c r="B232" s="3" t="s">
        <v>250</v>
      </c>
      <c r="C232" s="4" t="s">
        <v>21</v>
      </c>
      <c r="D232" s="5" t="str">
        <f aca="false">IF(C232="","",IFERROR(INDEX(Summary!$B$2:$B$14,MATCH(C232,Summary!$A$2:$A$14,0)),"?"))</f>
        <v>Center Forward</v>
      </c>
      <c r="E232" s="5" t="str">
        <f aca="false">IF(C232="","",IFERROR(INDEX(Summary!$C$2:$C$14,MATCH(C232,Summary!$A$2:$A$14,0)),"?"))</f>
        <v>Attacco</v>
      </c>
      <c r="F232" s="6" t="n">
        <v>84</v>
      </c>
      <c r="H232" s="7" t="n">
        <f aca="false">IF(OR(B232="",F232=""),"",F232-ROW()/100000)</f>
        <v>83.99768</v>
      </c>
      <c r="I232" s="0" t="str">
        <f aca="false">IF(H232="","",C232&amp;"|"&amp;(COUNTIFS($C$2:$C$1000,C232,$H$2:$H$1000,"&gt;"&amp;H232)+1))</f>
        <v>CF|44</v>
      </c>
    </row>
    <row r="233" customFormat="false" ht="15" hidden="false" customHeight="false" outlineLevel="0" collapsed="false">
      <c r="A233" s="2" t="n">
        <f aca="false">IF(F233="","",COUNTIF($F$2:$F$1000,"&gt;"&amp;F233)+1)</f>
        <v>232</v>
      </c>
      <c r="B233" s="3" t="s">
        <v>251</v>
      </c>
      <c r="C233" s="4" t="s">
        <v>9</v>
      </c>
      <c r="D233" s="5" t="str">
        <f aca="false">IF(C233="","",IFERROR(INDEX(Summary!$B$2:$B$14,MATCH(C233,Summary!$A$2:$A$14,0)),"?"))</f>
        <v>Goalkeeper</v>
      </c>
      <c r="E233" s="5" t="str">
        <f aca="false">IF(C233="","",IFERROR(INDEX(Summary!$C$2:$C$14,MATCH(C233,Summary!$A$2:$A$14,0)),"?"))</f>
        <v>Portieri</v>
      </c>
      <c r="F233" s="6" t="n">
        <v>83</v>
      </c>
      <c r="H233" s="7" t="n">
        <f aca="false">IF(OR(B233="",F233=""),"",F233-ROW()/100000)</f>
        <v>82.99767</v>
      </c>
      <c r="I233" s="0" t="str">
        <f aca="false">IF(H233="","",C233&amp;"|"&amp;(COUNTIFS($C$2:$C$1000,C233,$H$2:$H$1000,"&gt;"&amp;H233)+1))</f>
        <v>GK|21</v>
      </c>
    </row>
    <row r="234" customFormat="false" ht="15" hidden="false" customHeight="false" outlineLevel="0" collapsed="false">
      <c r="A234" s="2" t="n">
        <f aca="false">IF(F234="","",COUNTIF($F$2:$F$1000,"&gt;"&amp;F234)+1)</f>
        <v>232</v>
      </c>
      <c r="B234" s="3" t="s">
        <v>252</v>
      </c>
      <c r="C234" s="4" t="s">
        <v>9</v>
      </c>
      <c r="D234" s="5" t="str">
        <f aca="false">IF(C234="","",IFERROR(INDEX(Summary!$B$2:$B$14,MATCH(C234,Summary!$A$2:$A$14,0)),"?"))</f>
        <v>Goalkeeper</v>
      </c>
      <c r="E234" s="5" t="str">
        <f aca="false">IF(C234="","",IFERROR(INDEX(Summary!$C$2:$C$14,MATCH(C234,Summary!$A$2:$A$14,0)),"?"))</f>
        <v>Portieri</v>
      </c>
      <c r="F234" s="6" t="n">
        <v>83</v>
      </c>
      <c r="H234" s="7" t="n">
        <f aca="false">IF(OR(B234="",F234=""),"",F234-ROW()/100000)</f>
        <v>82.99766</v>
      </c>
      <c r="I234" s="0" t="str">
        <f aca="false">IF(H234="","",C234&amp;"|"&amp;(COUNTIFS($C$2:$C$1000,C234,$H$2:$H$1000,"&gt;"&amp;H234)+1))</f>
        <v>GK|22</v>
      </c>
    </row>
    <row r="235" customFormat="false" ht="15" hidden="false" customHeight="false" outlineLevel="0" collapsed="false">
      <c r="A235" s="2" t="n">
        <f aca="false">IF(F235="","",COUNTIF($F$2:$F$1000,"&gt;"&amp;F235)+1)</f>
        <v>232</v>
      </c>
      <c r="B235" s="3" t="s">
        <v>253</v>
      </c>
      <c r="C235" s="4" t="s">
        <v>9</v>
      </c>
      <c r="D235" s="5" t="str">
        <f aca="false">IF(C235="","",IFERROR(INDEX(Summary!$B$2:$B$14,MATCH(C235,Summary!$A$2:$A$14,0)),"?"))</f>
        <v>Goalkeeper</v>
      </c>
      <c r="E235" s="5" t="str">
        <f aca="false">IF(C235="","",IFERROR(INDEX(Summary!$C$2:$C$14,MATCH(C235,Summary!$A$2:$A$14,0)),"?"))</f>
        <v>Portieri</v>
      </c>
      <c r="F235" s="6" t="n">
        <v>83</v>
      </c>
      <c r="H235" s="7" t="n">
        <f aca="false">IF(OR(B235="",F235=""),"",F235-ROW()/100000)</f>
        <v>82.99765</v>
      </c>
      <c r="I235" s="0" t="str">
        <f aca="false">IF(H235="","",C235&amp;"|"&amp;(COUNTIFS($C$2:$C$1000,C235,$H$2:$H$1000,"&gt;"&amp;H235)+1))</f>
        <v>GK|23</v>
      </c>
    </row>
    <row r="236" customFormat="false" ht="15" hidden="false" customHeight="false" outlineLevel="0" collapsed="false">
      <c r="A236" s="2" t="n">
        <f aca="false">IF(F236="","",COUNTIF($F$2:$F$1000,"&gt;"&amp;F236)+1)</f>
        <v>232</v>
      </c>
      <c r="B236" s="3" t="s">
        <v>254</v>
      </c>
      <c r="C236" s="4" t="s">
        <v>38</v>
      </c>
      <c r="D236" s="5" t="str">
        <f aca="false">IF(C236="","",IFERROR(INDEX(Summary!$B$2:$B$14,MATCH(C236,Summary!$A$2:$A$14,0)),"?"))</f>
        <v>Center Back</v>
      </c>
      <c r="E236" s="5" t="str">
        <f aca="false">IF(C236="","",IFERROR(INDEX(Summary!$C$2:$C$14,MATCH(C236,Summary!$A$2:$A$14,0)),"?"))</f>
        <v>Difensori</v>
      </c>
      <c r="F236" s="6" t="n">
        <v>83</v>
      </c>
      <c r="H236" s="7" t="n">
        <f aca="false">IF(OR(B236="",F236=""),"",F236-ROW()/100000)</f>
        <v>82.99764</v>
      </c>
      <c r="I236" s="0" t="str">
        <f aca="false">IF(H236="","",C236&amp;"|"&amp;(COUNTIFS($C$2:$C$1000,C236,$H$2:$H$1000,"&gt;"&amp;H236)+1))</f>
        <v>CB|39</v>
      </c>
    </row>
    <row r="237" customFormat="false" ht="15" hidden="false" customHeight="false" outlineLevel="0" collapsed="false">
      <c r="A237" s="2" t="n">
        <f aca="false">IF(F237="","",COUNTIF($F$2:$F$1000,"&gt;"&amp;F237)+1)</f>
        <v>232</v>
      </c>
      <c r="B237" s="3" t="s">
        <v>255</v>
      </c>
      <c r="C237" s="4" t="s">
        <v>38</v>
      </c>
      <c r="D237" s="5" t="str">
        <f aca="false">IF(C237="","",IFERROR(INDEX(Summary!$B$2:$B$14,MATCH(C237,Summary!$A$2:$A$14,0)),"?"))</f>
        <v>Center Back</v>
      </c>
      <c r="E237" s="5" t="str">
        <f aca="false">IF(C237="","",IFERROR(INDEX(Summary!$C$2:$C$14,MATCH(C237,Summary!$A$2:$A$14,0)),"?"))</f>
        <v>Difensori</v>
      </c>
      <c r="F237" s="6" t="n">
        <v>83</v>
      </c>
      <c r="H237" s="7" t="n">
        <f aca="false">IF(OR(B237="",F237=""),"",F237-ROW()/100000)</f>
        <v>82.99763</v>
      </c>
      <c r="I237" s="0" t="str">
        <f aca="false">IF(H237="","",C237&amp;"|"&amp;(COUNTIFS($C$2:$C$1000,C237,$H$2:$H$1000,"&gt;"&amp;H237)+1))</f>
        <v>CB|40</v>
      </c>
    </row>
    <row r="238" customFormat="false" ht="15" hidden="false" customHeight="false" outlineLevel="0" collapsed="false">
      <c r="A238" s="2" t="n">
        <f aca="false">IF(F238="","",COUNTIF($F$2:$F$1000,"&gt;"&amp;F238)+1)</f>
        <v>232</v>
      </c>
      <c r="B238" s="3" t="s">
        <v>256</v>
      </c>
      <c r="C238" s="4" t="s">
        <v>23</v>
      </c>
      <c r="D238" s="5" t="str">
        <f aca="false">IF(C238="","",IFERROR(INDEX(Summary!$B$2:$B$14,MATCH(C238,Summary!$A$2:$A$14,0)),"?"))</f>
        <v>Left Back</v>
      </c>
      <c r="E238" s="5" t="str">
        <f aca="false">IF(C238="","",IFERROR(INDEX(Summary!$C$2:$C$14,MATCH(C238,Summary!$A$2:$A$14,0)),"?"))</f>
        <v>Difensori</v>
      </c>
      <c r="F238" s="6" t="n">
        <v>83</v>
      </c>
      <c r="H238" s="7" t="n">
        <f aca="false">IF(OR(B238="",F238=""),"",F238-ROW()/100000)</f>
        <v>82.99762</v>
      </c>
      <c r="I238" s="0" t="str">
        <f aca="false">IF(H238="","",C238&amp;"|"&amp;(COUNTIFS($C$2:$C$1000,C238,$H$2:$H$1000,"&gt;"&amp;H238)+1))</f>
        <v>LB|11</v>
      </c>
    </row>
    <row r="239" customFormat="false" ht="15" hidden="false" customHeight="false" outlineLevel="0" collapsed="false">
      <c r="A239" s="2" t="n">
        <f aca="false">IF(F239="","",COUNTIF($F$2:$F$1000,"&gt;"&amp;F239)+1)</f>
        <v>232</v>
      </c>
      <c r="B239" s="3" t="s">
        <v>257</v>
      </c>
      <c r="C239" s="4" t="s">
        <v>23</v>
      </c>
      <c r="D239" s="5" t="str">
        <f aca="false">IF(C239="","",IFERROR(INDEX(Summary!$B$2:$B$14,MATCH(C239,Summary!$A$2:$A$14,0)),"?"))</f>
        <v>Left Back</v>
      </c>
      <c r="E239" s="5" t="str">
        <f aca="false">IF(C239="","",IFERROR(INDEX(Summary!$C$2:$C$14,MATCH(C239,Summary!$A$2:$A$14,0)),"?"))</f>
        <v>Difensori</v>
      </c>
      <c r="F239" s="6" t="n">
        <v>83</v>
      </c>
      <c r="H239" s="7" t="n">
        <f aca="false">IF(OR(B239="",F239=""),"",F239-ROW()/100000)</f>
        <v>82.99761</v>
      </c>
      <c r="I239" s="0" t="str">
        <f aca="false">IF(H239="","",C239&amp;"|"&amp;(COUNTIFS($C$2:$C$1000,C239,$H$2:$H$1000,"&gt;"&amp;H239)+1))</f>
        <v>LB|12</v>
      </c>
    </row>
    <row r="240" customFormat="false" ht="15" hidden="false" customHeight="false" outlineLevel="0" collapsed="false">
      <c r="A240" s="2" t="n">
        <f aca="false">IF(F240="","",COUNTIF($F$2:$F$1000,"&gt;"&amp;F240)+1)</f>
        <v>232</v>
      </c>
      <c r="B240" s="3" t="s">
        <v>258</v>
      </c>
      <c r="C240" s="4" t="s">
        <v>61</v>
      </c>
      <c r="D240" s="5" t="str">
        <f aca="false">IF(C240="","",IFERROR(INDEX(Summary!$B$2:$B$14,MATCH(C240,Summary!$A$2:$A$14,0)),"?"))</f>
        <v>Right Back</v>
      </c>
      <c r="E240" s="5" t="str">
        <f aca="false">IF(C240="","",IFERROR(INDEX(Summary!$C$2:$C$14,MATCH(C240,Summary!$A$2:$A$14,0)),"?"))</f>
        <v>Difensori</v>
      </c>
      <c r="F240" s="6" t="n">
        <v>83</v>
      </c>
      <c r="H240" s="7" t="n">
        <f aca="false">IF(OR(B240="",F240=""),"",F240-ROW()/100000)</f>
        <v>82.9976</v>
      </c>
      <c r="I240" s="0" t="str">
        <f aca="false">IF(H240="","",C240&amp;"|"&amp;(COUNTIFS($C$2:$C$1000,C240,$H$2:$H$1000,"&gt;"&amp;H240)+1))</f>
        <v>RB|11</v>
      </c>
    </row>
    <row r="241" customFormat="false" ht="15" hidden="false" customHeight="false" outlineLevel="0" collapsed="false">
      <c r="A241" s="2" t="n">
        <f aca="false">IF(F241="","",COUNTIF($F$2:$F$1000,"&gt;"&amp;F241)+1)</f>
        <v>232</v>
      </c>
      <c r="B241" s="3" t="s">
        <v>259</v>
      </c>
      <c r="C241" s="4" t="s">
        <v>61</v>
      </c>
      <c r="D241" s="5" t="str">
        <f aca="false">IF(C241="","",IFERROR(INDEX(Summary!$B$2:$B$14,MATCH(C241,Summary!$A$2:$A$14,0)),"?"))</f>
        <v>Right Back</v>
      </c>
      <c r="E241" s="5" t="str">
        <f aca="false">IF(C241="","",IFERROR(INDEX(Summary!$C$2:$C$14,MATCH(C241,Summary!$A$2:$A$14,0)),"?"))</f>
        <v>Difensori</v>
      </c>
      <c r="F241" s="6" t="n">
        <v>83</v>
      </c>
      <c r="H241" s="7" t="n">
        <f aca="false">IF(OR(B241="",F241=""),"",F241-ROW()/100000)</f>
        <v>82.99759</v>
      </c>
      <c r="I241" s="0" t="str">
        <f aca="false">IF(H241="","",C241&amp;"|"&amp;(COUNTIFS($C$2:$C$1000,C241,$H$2:$H$1000,"&gt;"&amp;H241)+1))</f>
        <v>RB|12</v>
      </c>
    </row>
    <row r="242" customFormat="false" ht="15" hidden="false" customHeight="false" outlineLevel="0" collapsed="false">
      <c r="A242" s="2" t="n">
        <f aca="false">IF(F242="","",COUNTIF($F$2:$F$1000,"&gt;"&amp;F242)+1)</f>
        <v>232</v>
      </c>
      <c r="B242" s="3" t="s">
        <v>260</v>
      </c>
      <c r="C242" s="4" t="s">
        <v>61</v>
      </c>
      <c r="D242" s="5" t="str">
        <f aca="false">IF(C242="","",IFERROR(INDEX(Summary!$B$2:$B$14,MATCH(C242,Summary!$A$2:$A$14,0)),"?"))</f>
        <v>Right Back</v>
      </c>
      <c r="E242" s="5" t="str">
        <f aca="false">IF(C242="","",IFERROR(INDEX(Summary!$C$2:$C$14,MATCH(C242,Summary!$A$2:$A$14,0)),"?"))</f>
        <v>Difensori</v>
      </c>
      <c r="F242" s="6" t="n">
        <v>83</v>
      </c>
      <c r="H242" s="7" t="n">
        <f aca="false">IF(OR(B242="",F242=""),"",F242-ROW()/100000)</f>
        <v>82.99758</v>
      </c>
      <c r="I242" s="0" t="str">
        <f aca="false">IF(H242="","",C242&amp;"|"&amp;(COUNTIFS($C$2:$C$1000,C242,$H$2:$H$1000,"&gt;"&amp;H242)+1))</f>
        <v>RB|13</v>
      </c>
    </row>
    <row r="243" customFormat="false" ht="15" hidden="false" customHeight="false" outlineLevel="0" collapsed="false">
      <c r="A243" s="2" t="n">
        <f aca="false">IF(F243="","",COUNTIF($F$2:$F$1000,"&gt;"&amp;F243)+1)</f>
        <v>232</v>
      </c>
      <c r="B243" s="3" t="s">
        <v>261</v>
      </c>
      <c r="C243" s="4" t="s">
        <v>51</v>
      </c>
      <c r="D243" s="5" t="str">
        <f aca="false">IF(C243="","",IFERROR(INDEX(Summary!$B$2:$B$14,MATCH(C243,Summary!$A$2:$A$14,0)),"?"))</f>
        <v>Defensive Midfielder</v>
      </c>
      <c r="E243" s="5" t="str">
        <f aca="false">IF(C243="","",IFERROR(INDEX(Summary!$C$2:$C$14,MATCH(C243,Summary!$A$2:$A$14,0)),"?"))</f>
        <v>Centrocampo</v>
      </c>
      <c r="F243" s="6" t="n">
        <v>83</v>
      </c>
      <c r="H243" s="7" t="n">
        <f aca="false">IF(OR(B243="",F243=""),"",F243-ROW()/100000)</f>
        <v>82.99757</v>
      </c>
      <c r="I243" s="0" t="str">
        <f aca="false">IF(H243="","",C243&amp;"|"&amp;(COUNTIFS($C$2:$C$1000,C243,$H$2:$H$1000,"&gt;"&amp;H243)+1))</f>
        <v>DMF|22</v>
      </c>
    </row>
    <row r="244" customFormat="false" ht="15" hidden="false" customHeight="false" outlineLevel="0" collapsed="false">
      <c r="A244" s="2" t="n">
        <f aca="false">IF(F244="","",COUNTIF($F$2:$F$1000,"&gt;"&amp;F244)+1)</f>
        <v>232</v>
      </c>
      <c r="B244" s="3" t="s">
        <v>262</v>
      </c>
      <c r="C244" s="4" t="s">
        <v>51</v>
      </c>
      <c r="D244" s="5" t="str">
        <f aca="false">IF(C244="","",IFERROR(INDEX(Summary!$B$2:$B$14,MATCH(C244,Summary!$A$2:$A$14,0)),"?"))</f>
        <v>Defensive Midfielder</v>
      </c>
      <c r="E244" s="5" t="str">
        <f aca="false">IF(C244="","",IFERROR(INDEX(Summary!$C$2:$C$14,MATCH(C244,Summary!$A$2:$A$14,0)),"?"))</f>
        <v>Centrocampo</v>
      </c>
      <c r="F244" s="6" t="n">
        <v>83</v>
      </c>
      <c r="H244" s="7" t="n">
        <f aca="false">IF(OR(B244="",F244=""),"",F244-ROW()/100000)</f>
        <v>82.99756</v>
      </c>
      <c r="I244" s="0" t="str">
        <f aca="false">IF(H244="","",C244&amp;"|"&amp;(COUNTIFS($C$2:$C$1000,C244,$H$2:$H$1000,"&gt;"&amp;H244)+1))</f>
        <v>DMF|23</v>
      </c>
    </row>
    <row r="245" customFormat="false" ht="15" hidden="false" customHeight="false" outlineLevel="0" collapsed="false">
      <c r="A245" s="2" t="n">
        <f aca="false">IF(F245="","",COUNTIF($F$2:$F$1000,"&gt;"&amp;F245)+1)</f>
        <v>232</v>
      </c>
      <c r="B245" s="3" t="s">
        <v>263</v>
      </c>
      <c r="C245" s="4" t="s">
        <v>11</v>
      </c>
      <c r="D245" s="5" t="str">
        <f aca="false">IF(C245="","",IFERROR(INDEX(Summary!$B$2:$B$14,MATCH(C245,Summary!$A$2:$A$14,0)),"?"))</f>
        <v>Central Midfielder</v>
      </c>
      <c r="E245" s="5" t="str">
        <f aca="false">IF(C245="","",IFERROR(INDEX(Summary!$C$2:$C$14,MATCH(C245,Summary!$A$2:$A$14,0)),"?"))</f>
        <v>Centrocampo</v>
      </c>
      <c r="F245" s="6" t="n">
        <v>83</v>
      </c>
      <c r="H245" s="7" t="n">
        <f aca="false">IF(OR(B245="",F245=""),"",F245-ROW()/100000)</f>
        <v>82.99755</v>
      </c>
      <c r="I245" s="0" t="str">
        <f aca="false">IF(H245="","",C245&amp;"|"&amp;(COUNTIFS($C$2:$C$1000,C245,$H$2:$H$1000,"&gt;"&amp;H245)+1))</f>
        <v>CMF|17</v>
      </c>
    </row>
    <row r="246" customFormat="false" ht="15" hidden="false" customHeight="false" outlineLevel="0" collapsed="false">
      <c r="A246" s="2" t="n">
        <f aca="false">IF(F246="","",COUNTIF($F$2:$F$1000,"&gt;"&amp;F246)+1)</f>
        <v>232</v>
      </c>
      <c r="B246" s="3" t="s">
        <v>264</v>
      </c>
      <c r="C246" s="4" t="s">
        <v>11</v>
      </c>
      <c r="D246" s="5" t="str">
        <f aca="false">IF(C246="","",IFERROR(INDEX(Summary!$B$2:$B$14,MATCH(C246,Summary!$A$2:$A$14,0)),"?"))</f>
        <v>Central Midfielder</v>
      </c>
      <c r="E246" s="5" t="str">
        <f aca="false">IF(C246="","",IFERROR(INDEX(Summary!$C$2:$C$14,MATCH(C246,Summary!$A$2:$A$14,0)),"?"))</f>
        <v>Centrocampo</v>
      </c>
      <c r="F246" s="6" t="n">
        <v>83</v>
      </c>
      <c r="H246" s="7" t="n">
        <f aca="false">IF(OR(B246="",F246=""),"",F246-ROW()/100000)</f>
        <v>82.99754</v>
      </c>
      <c r="I246" s="0" t="str">
        <f aca="false">IF(H246="","",C246&amp;"|"&amp;(COUNTIFS($C$2:$C$1000,C246,$H$2:$H$1000,"&gt;"&amp;H246)+1))</f>
        <v>CMF|18</v>
      </c>
    </row>
    <row r="247" customFormat="false" ht="15" hidden="false" customHeight="false" outlineLevel="0" collapsed="false">
      <c r="A247" s="2" t="n">
        <f aca="false">IF(F247="","",COUNTIF($F$2:$F$1000,"&gt;"&amp;F247)+1)</f>
        <v>232</v>
      </c>
      <c r="B247" s="3" t="s">
        <v>265</v>
      </c>
      <c r="C247" s="4" t="s">
        <v>11</v>
      </c>
      <c r="D247" s="5" t="str">
        <f aca="false">IF(C247="","",IFERROR(INDEX(Summary!$B$2:$B$14,MATCH(C247,Summary!$A$2:$A$14,0)),"?"))</f>
        <v>Central Midfielder</v>
      </c>
      <c r="E247" s="5" t="str">
        <f aca="false">IF(C247="","",IFERROR(INDEX(Summary!$C$2:$C$14,MATCH(C247,Summary!$A$2:$A$14,0)),"?"))</f>
        <v>Centrocampo</v>
      </c>
      <c r="F247" s="6" t="n">
        <v>83</v>
      </c>
      <c r="H247" s="7" t="n">
        <f aca="false">IF(OR(B247="",F247=""),"",F247-ROW()/100000)</f>
        <v>82.99753</v>
      </c>
      <c r="I247" s="0" t="str">
        <f aca="false">IF(H247="","",C247&amp;"|"&amp;(COUNTIFS($C$2:$C$1000,C247,$H$2:$H$1000,"&gt;"&amp;H247)+1))</f>
        <v>CMF|19</v>
      </c>
    </row>
    <row r="248" customFormat="false" ht="15" hidden="false" customHeight="false" outlineLevel="0" collapsed="false">
      <c r="A248" s="2" t="n">
        <f aca="false">IF(F248="","",COUNTIF($F$2:$F$1000,"&gt;"&amp;F248)+1)</f>
        <v>232</v>
      </c>
      <c r="B248" s="3" t="s">
        <v>266</v>
      </c>
      <c r="C248" s="4" t="s">
        <v>11</v>
      </c>
      <c r="D248" s="5" t="str">
        <f aca="false">IF(C248="","",IFERROR(INDEX(Summary!$B$2:$B$14,MATCH(C248,Summary!$A$2:$A$14,0)),"?"))</f>
        <v>Central Midfielder</v>
      </c>
      <c r="E248" s="5" t="str">
        <f aca="false">IF(C248="","",IFERROR(INDEX(Summary!$C$2:$C$14,MATCH(C248,Summary!$A$2:$A$14,0)),"?"))</f>
        <v>Centrocampo</v>
      </c>
      <c r="F248" s="6" t="n">
        <v>83</v>
      </c>
      <c r="H248" s="7" t="n">
        <f aca="false">IF(OR(B248="",F248=""),"",F248-ROW()/100000)</f>
        <v>82.99752</v>
      </c>
      <c r="I248" s="0" t="str">
        <f aca="false">IF(H248="","",C248&amp;"|"&amp;(COUNTIFS($C$2:$C$1000,C248,$H$2:$H$1000,"&gt;"&amp;H248)+1))</f>
        <v>CMF|20</v>
      </c>
    </row>
    <row r="249" customFormat="false" ht="15" hidden="false" customHeight="false" outlineLevel="0" collapsed="false">
      <c r="A249" s="2" t="n">
        <f aca="false">IF(F249="","",COUNTIF($F$2:$F$1000,"&gt;"&amp;F249)+1)</f>
        <v>232</v>
      </c>
      <c r="B249" s="3" t="s">
        <v>267</v>
      </c>
      <c r="C249" s="4" t="s">
        <v>42</v>
      </c>
      <c r="D249" s="5" t="str">
        <f aca="false">IF(C249="","",IFERROR(INDEX(Summary!$B$2:$B$14,MATCH(C249,Summary!$A$2:$A$14,0)),"?"))</f>
        <v>Left Midfielder</v>
      </c>
      <c r="E249" s="5" t="str">
        <f aca="false">IF(C249="","",IFERROR(INDEX(Summary!$C$2:$C$14,MATCH(C249,Summary!$A$2:$A$14,0)),"?"))</f>
        <v>Centrocampo</v>
      </c>
      <c r="F249" s="6" t="n">
        <v>83</v>
      </c>
      <c r="H249" s="7" t="n">
        <f aca="false">IF(OR(B249="",F249=""),"",F249-ROW()/100000)</f>
        <v>82.99751</v>
      </c>
      <c r="I249" s="0" t="str">
        <f aca="false">IF(H249="","",C249&amp;"|"&amp;(COUNTIFS($C$2:$C$1000,C249,$H$2:$H$1000,"&gt;"&amp;H249)+1))</f>
        <v>LMF|15</v>
      </c>
    </row>
    <row r="250" customFormat="false" ht="15" hidden="false" customHeight="false" outlineLevel="0" collapsed="false">
      <c r="A250" s="2" t="n">
        <f aca="false">IF(F250="","",COUNTIF($F$2:$F$1000,"&gt;"&amp;F250)+1)</f>
        <v>232</v>
      </c>
      <c r="B250" s="3" t="s">
        <v>268</v>
      </c>
      <c r="C250" s="4" t="s">
        <v>42</v>
      </c>
      <c r="D250" s="5" t="str">
        <f aca="false">IF(C250="","",IFERROR(INDEX(Summary!$B$2:$B$14,MATCH(C250,Summary!$A$2:$A$14,0)),"?"))</f>
        <v>Left Midfielder</v>
      </c>
      <c r="E250" s="5" t="str">
        <f aca="false">IF(C250="","",IFERROR(INDEX(Summary!$C$2:$C$14,MATCH(C250,Summary!$A$2:$A$14,0)),"?"))</f>
        <v>Centrocampo</v>
      </c>
      <c r="F250" s="6" t="n">
        <v>83</v>
      </c>
      <c r="H250" s="7" t="n">
        <f aca="false">IF(OR(B250="",F250=""),"",F250-ROW()/100000)</f>
        <v>82.9975</v>
      </c>
      <c r="I250" s="0" t="str">
        <f aca="false">IF(H250="","",C250&amp;"|"&amp;(COUNTIFS($C$2:$C$1000,C250,$H$2:$H$1000,"&gt;"&amp;H250)+1))</f>
        <v>LMF|16</v>
      </c>
    </row>
    <row r="251" customFormat="false" ht="15" hidden="false" customHeight="false" outlineLevel="0" collapsed="false">
      <c r="A251" s="2" t="n">
        <f aca="false">IF(F251="","",COUNTIF($F$2:$F$1000,"&gt;"&amp;F251)+1)</f>
        <v>232</v>
      </c>
      <c r="B251" s="3" t="s">
        <v>269</v>
      </c>
      <c r="C251" s="4" t="s">
        <v>42</v>
      </c>
      <c r="D251" s="5" t="str">
        <f aca="false">IF(C251="","",IFERROR(INDEX(Summary!$B$2:$B$14,MATCH(C251,Summary!$A$2:$A$14,0)),"?"))</f>
        <v>Left Midfielder</v>
      </c>
      <c r="E251" s="5" t="str">
        <f aca="false">IF(C251="","",IFERROR(INDEX(Summary!$C$2:$C$14,MATCH(C251,Summary!$A$2:$A$14,0)),"?"))</f>
        <v>Centrocampo</v>
      </c>
      <c r="F251" s="6" t="n">
        <v>83</v>
      </c>
      <c r="H251" s="7" t="n">
        <f aca="false">IF(OR(B251="",F251=""),"",F251-ROW()/100000)</f>
        <v>82.99749</v>
      </c>
      <c r="I251" s="0" t="str">
        <f aca="false">IF(H251="","",C251&amp;"|"&amp;(COUNTIFS($C$2:$C$1000,C251,$H$2:$H$1000,"&gt;"&amp;H251)+1))</f>
        <v>LMF|17</v>
      </c>
    </row>
    <row r="252" customFormat="false" ht="15" hidden="false" customHeight="false" outlineLevel="0" collapsed="false">
      <c r="A252" s="2" t="n">
        <f aca="false">IF(F252="","",COUNTIF($F$2:$F$1000,"&gt;"&amp;F252)+1)</f>
        <v>232</v>
      </c>
      <c r="B252" s="3" t="s">
        <v>270</v>
      </c>
      <c r="C252" s="4" t="s">
        <v>28</v>
      </c>
      <c r="D252" s="5" t="str">
        <f aca="false">IF(C252="","",IFERROR(INDEX(Summary!$B$2:$B$14,MATCH(C252,Summary!$A$2:$A$14,0)),"?"))</f>
        <v>Right Midfielder</v>
      </c>
      <c r="E252" s="5" t="str">
        <f aca="false">IF(C252="","",IFERROR(INDEX(Summary!$C$2:$C$14,MATCH(C252,Summary!$A$2:$A$14,0)),"?"))</f>
        <v>Centrocampo</v>
      </c>
      <c r="F252" s="6" t="n">
        <v>83</v>
      </c>
      <c r="H252" s="7" t="n">
        <f aca="false">IF(OR(B252="",F252=""),"",F252-ROW()/100000)</f>
        <v>82.99748</v>
      </c>
      <c r="I252" s="0" t="str">
        <f aca="false">IF(H252="","",C252&amp;"|"&amp;(COUNTIFS($C$2:$C$1000,C252,$H$2:$H$1000,"&gt;"&amp;H252)+1))</f>
        <v>RMF|18</v>
      </c>
    </row>
    <row r="253" customFormat="false" ht="15" hidden="false" customHeight="false" outlineLevel="0" collapsed="false">
      <c r="A253" s="2" t="n">
        <f aca="false">IF(F253="","",COUNTIF($F$2:$F$1000,"&gt;"&amp;F253)+1)</f>
        <v>232</v>
      </c>
      <c r="B253" s="3" t="s">
        <v>271</v>
      </c>
      <c r="C253" s="4" t="s">
        <v>31</v>
      </c>
      <c r="D253" s="5" t="str">
        <f aca="false">IF(C253="","",IFERROR(INDEX(Summary!$B$2:$B$14,MATCH(C253,Summary!$A$2:$A$14,0)),"?"))</f>
        <v>Attacking Midfielder</v>
      </c>
      <c r="E253" s="5" t="str">
        <f aca="false">IF(C253="","",IFERROR(INDEX(Summary!$C$2:$C$14,MATCH(C253,Summary!$A$2:$A$14,0)),"?"))</f>
        <v>Centrocampo</v>
      </c>
      <c r="F253" s="6" t="n">
        <v>83</v>
      </c>
      <c r="H253" s="7" t="n">
        <f aca="false">IF(OR(B253="",F253=""),"",F253-ROW()/100000)</f>
        <v>82.99747</v>
      </c>
      <c r="I253" s="0" t="str">
        <f aca="false">IF(H253="","",C253&amp;"|"&amp;(COUNTIFS($C$2:$C$1000,C253,$H$2:$H$1000,"&gt;"&amp;H253)+1))</f>
        <v>AMF|19</v>
      </c>
    </row>
    <row r="254" customFormat="false" ht="15" hidden="false" customHeight="false" outlineLevel="0" collapsed="false">
      <c r="A254" s="2" t="n">
        <f aca="false">IF(F254="","",COUNTIF($F$2:$F$1000,"&gt;"&amp;F254)+1)</f>
        <v>232</v>
      </c>
      <c r="B254" s="3" t="s">
        <v>272</v>
      </c>
      <c r="C254" s="4" t="s">
        <v>17</v>
      </c>
      <c r="D254" s="5" t="str">
        <f aca="false">IF(C254="","",IFERROR(INDEX(Summary!$B$2:$B$14,MATCH(C254,Summary!$A$2:$A$14,0)),"?"))</f>
        <v>Right Wing Forward</v>
      </c>
      <c r="E254" s="5" t="str">
        <f aca="false">IF(C254="","",IFERROR(INDEX(Summary!$C$2:$C$14,MATCH(C254,Summary!$A$2:$A$14,0)),"?"))</f>
        <v>Attacco</v>
      </c>
      <c r="F254" s="6" t="n">
        <v>83</v>
      </c>
      <c r="H254" s="7" t="n">
        <f aca="false">IF(OR(B254="",F254=""),"",F254-ROW()/100000)</f>
        <v>82.99746</v>
      </c>
      <c r="I254" s="0" t="str">
        <f aca="false">IF(H254="","",C254&amp;"|"&amp;(COUNTIFS($C$2:$C$1000,C254,$H$2:$H$1000,"&gt;"&amp;H254)+1))</f>
        <v>RWF|4</v>
      </c>
    </row>
    <row r="255" customFormat="false" ht="15" hidden="false" customHeight="false" outlineLevel="0" collapsed="false">
      <c r="A255" s="2" t="n">
        <f aca="false">IF(F255="","",COUNTIF($F$2:$F$1000,"&gt;"&amp;F255)+1)</f>
        <v>232</v>
      </c>
      <c r="B255" s="3" t="s">
        <v>273</v>
      </c>
      <c r="C255" s="4" t="s">
        <v>17</v>
      </c>
      <c r="D255" s="5" t="str">
        <f aca="false">IF(C255="","",IFERROR(INDEX(Summary!$B$2:$B$14,MATCH(C255,Summary!$A$2:$A$14,0)),"?"))</f>
        <v>Right Wing Forward</v>
      </c>
      <c r="E255" s="5" t="str">
        <f aca="false">IF(C255="","",IFERROR(INDEX(Summary!$C$2:$C$14,MATCH(C255,Summary!$A$2:$A$14,0)),"?"))</f>
        <v>Attacco</v>
      </c>
      <c r="F255" s="6" t="n">
        <v>83</v>
      </c>
      <c r="H255" s="7" t="n">
        <f aca="false">IF(OR(B255="",F255=""),"",F255-ROW()/100000)</f>
        <v>82.99745</v>
      </c>
      <c r="I255" s="0" t="str">
        <f aca="false">IF(H255="","",C255&amp;"|"&amp;(COUNTIFS($C$2:$C$1000,C255,$H$2:$H$1000,"&gt;"&amp;H255)+1))</f>
        <v>RWF|5</v>
      </c>
    </row>
    <row r="256" customFormat="false" ht="15" hidden="false" customHeight="false" outlineLevel="0" collapsed="false">
      <c r="A256" s="2" t="n">
        <f aca="false">IF(F256="","",COUNTIF($F$2:$F$1000,"&gt;"&amp;F256)+1)</f>
        <v>232</v>
      </c>
      <c r="B256" s="3" t="s">
        <v>274</v>
      </c>
      <c r="C256" s="4" t="s">
        <v>19</v>
      </c>
      <c r="D256" s="5" t="str">
        <f aca="false">IF(C256="","",IFERROR(INDEX(Summary!$B$2:$B$14,MATCH(C256,Summary!$A$2:$A$14,0)),"?"))</f>
        <v>Second Striker</v>
      </c>
      <c r="E256" s="5" t="str">
        <f aca="false">IF(C256="","",IFERROR(INDEX(Summary!$C$2:$C$14,MATCH(C256,Summary!$A$2:$A$14,0)),"?"))</f>
        <v>Attacco</v>
      </c>
      <c r="F256" s="6" t="n">
        <v>83</v>
      </c>
      <c r="H256" s="7" t="n">
        <f aca="false">IF(OR(B256="",F256=""),"",F256-ROW()/100000)</f>
        <v>82.99744</v>
      </c>
      <c r="I256" s="0" t="str">
        <f aca="false">IF(H256="","",C256&amp;"|"&amp;(COUNTIFS($C$2:$C$1000,C256,$H$2:$H$1000,"&gt;"&amp;H256)+1))</f>
        <v>SS|13</v>
      </c>
    </row>
    <row r="257" customFormat="false" ht="15" hidden="false" customHeight="false" outlineLevel="0" collapsed="false">
      <c r="A257" s="2" t="n">
        <f aca="false">IF(F257="","",COUNTIF($F$2:$F$1000,"&gt;"&amp;F257)+1)</f>
        <v>232</v>
      </c>
      <c r="B257" s="3" t="s">
        <v>275</v>
      </c>
      <c r="C257" s="4" t="s">
        <v>21</v>
      </c>
      <c r="D257" s="5" t="str">
        <f aca="false">IF(C257="","",IFERROR(INDEX(Summary!$B$2:$B$14,MATCH(C257,Summary!$A$2:$A$14,0)),"?"))</f>
        <v>Center Forward</v>
      </c>
      <c r="E257" s="5" t="str">
        <f aca="false">IF(C257="","",IFERROR(INDEX(Summary!$C$2:$C$14,MATCH(C257,Summary!$A$2:$A$14,0)),"?"))</f>
        <v>Attacco</v>
      </c>
      <c r="F257" s="6" t="n">
        <v>83</v>
      </c>
      <c r="H257" s="7" t="n">
        <f aca="false">IF(OR(B257="",F257=""),"",F257-ROW()/100000)</f>
        <v>82.99743</v>
      </c>
      <c r="I257" s="0" t="str">
        <f aca="false">IF(H257="","",C257&amp;"|"&amp;(COUNTIFS($C$2:$C$1000,C257,$H$2:$H$1000,"&gt;"&amp;H257)+1))</f>
        <v>CF|45</v>
      </c>
    </row>
    <row r="258" customFormat="false" ht="15" hidden="false" customHeight="false" outlineLevel="0" collapsed="false">
      <c r="A258" s="2" t="n">
        <f aca="false">IF(F258="","",COUNTIF($F$2:$F$1000,"&gt;"&amp;F258)+1)</f>
        <v>232</v>
      </c>
      <c r="B258" s="3" t="s">
        <v>276</v>
      </c>
      <c r="C258" s="4" t="s">
        <v>21</v>
      </c>
      <c r="D258" s="5" t="str">
        <f aca="false">IF(C258="","",IFERROR(INDEX(Summary!$B$2:$B$14,MATCH(C258,Summary!$A$2:$A$14,0)),"?"))</f>
        <v>Center Forward</v>
      </c>
      <c r="E258" s="5" t="str">
        <f aca="false">IF(C258="","",IFERROR(INDEX(Summary!$C$2:$C$14,MATCH(C258,Summary!$A$2:$A$14,0)),"?"))</f>
        <v>Attacco</v>
      </c>
      <c r="F258" s="6" t="n">
        <v>83</v>
      </c>
      <c r="H258" s="7" t="n">
        <f aca="false">IF(OR(B258="",F258=""),"",F258-ROW()/100000)</f>
        <v>82.99742</v>
      </c>
      <c r="I258" s="0" t="str">
        <f aca="false">IF(H258="","",C258&amp;"|"&amp;(COUNTIFS($C$2:$C$1000,C258,$H$2:$H$1000,"&gt;"&amp;H258)+1))</f>
        <v>CF|46</v>
      </c>
    </row>
    <row r="259" customFormat="false" ht="15" hidden="false" customHeight="false" outlineLevel="0" collapsed="false">
      <c r="A259" s="2" t="n">
        <f aca="false">IF(F259="","",COUNTIF($F$2:$F$1000,"&gt;"&amp;F259)+1)</f>
        <v>258</v>
      </c>
      <c r="B259" s="3" t="s">
        <v>277</v>
      </c>
      <c r="C259" s="4" t="s">
        <v>9</v>
      </c>
      <c r="D259" s="5" t="str">
        <f aca="false">IF(C259="","",IFERROR(INDEX(Summary!$B$2:$B$14,MATCH(C259,Summary!$A$2:$A$14,0)),"?"))</f>
        <v>Goalkeeper</v>
      </c>
      <c r="E259" s="5" t="str">
        <f aca="false">IF(C259="","",IFERROR(INDEX(Summary!$C$2:$C$14,MATCH(C259,Summary!$A$2:$A$14,0)),"?"))</f>
        <v>Portieri</v>
      </c>
      <c r="F259" s="6" t="n">
        <v>82</v>
      </c>
      <c r="H259" s="7" t="n">
        <f aca="false">IF(OR(B259="",F259=""),"",F259-ROW()/100000)</f>
        <v>81.99741</v>
      </c>
      <c r="I259" s="0" t="str">
        <f aca="false">IF(H259="","",C259&amp;"|"&amp;(COUNTIFS($C$2:$C$1000,C259,$H$2:$H$1000,"&gt;"&amp;H259)+1))</f>
        <v>GK|24</v>
      </c>
    </row>
    <row r="260" customFormat="false" ht="15" hidden="false" customHeight="false" outlineLevel="0" collapsed="false">
      <c r="A260" s="2" t="n">
        <f aca="false">IF(F260="","",COUNTIF($F$2:$F$1000,"&gt;"&amp;F260)+1)</f>
        <v>258</v>
      </c>
      <c r="B260" s="3" t="s">
        <v>278</v>
      </c>
      <c r="C260" s="4" t="s">
        <v>9</v>
      </c>
      <c r="D260" s="5" t="str">
        <f aca="false">IF(C260="","",IFERROR(INDEX(Summary!$B$2:$B$14,MATCH(C260,Summary!$A$2:$A$14,0)),"?"))</f>
        <v>Goalkeeper</v>
      </c>
      <c r="E260" s="5" t="str">
        <f aca="false">IF(C260="","",IFERROR(INDEX(Summary!$C$2:$C$14,MATCH(C260,Summary!$A$2:$A$14,0)),"?"))</f>
        <v>Portieri</v>
      </c>
      <c r="F260" s="6" t="n">
        <v>82</v>
      </c>
      <c r="H260" s="7" t="n">
        <f aca="false">IF(OR(B260="",F260=""),"",F260-ROW()/100000)</f>
        <v>81.9974</v>
      </c>
      <c r="I260" s="0" t="str">
        <f aca="false">IF(H260="","",C260&amp;"|"&amp;(COUNTIFS($C$2:$C$1000,C260,$H$2:$H$1000,"&gt;"&amp;H260)+1))</f>
        <v>GK|25</v>
      </c>
    </row>
    <row r="261" customFormat="false" ht="15" hidden="false" customHeight="false" outlineLevel="0" collapsed="false">
      <c r="A261" s="2" t="n">
        <f aca="false">IF(F261="","",COUNTIF($F$2:$F$1000,"&gt;"&amp;F261)+1)</f>
        <v>258</v>
      </c>
      <c r="B261" s="3" t="s">
        <v>279</v>
      </c>
      <c r="C261" s="4" t="s">
        <v>9</v>
      </c>
      <c r="D261" s="5" t="str">
        <f aca="false">IF(C261="","",IFERROR(INDEX(Summary!$B$2:$B$14,MATCH(C261,Summary!$A$2:$A$14,0)),"?"))</f>
        <v>Goalkeeper</v>
      </c>
      <c r="E261" s="5" t="str">
        <f aca="false">IF(C261="","",IFERROR(INDEX(Summary!$C$2:$C$14,MATCH(C261,Summary!$A$2:$A$14,0)),"?"))</f>
        <v>Portieri</v>
      </c>
      <c r="F261" s="6" t="n">
        <v>82</v>
      </c>
      <c r="H261" s="7" t="n">
        <f aca="false">IF(OR(B261="",F261=""),"",F261-ROW()/100000)</f>
        <v>81.99739</v>
      </c>
      <c r="I261" s="0" t="str">
        <f aca="false">IF(H261="","",C261&amp;"|"&amp;(COUNTIFS($C$2:$C$1000,C261,$H$2:$H$1000,"&gt;"&amp;H261)+1))</f>
        <v>GK|26</v>
      </c>
    </row>
    <row r="262" customFormat="false" ht="15" hidden="false" customHeight="false" outlineLevel="0" collapsed="false">
      <c r="A262" s="2" t="n">
        <f aca="false">IF(F262="","",COUNTIF($F$2:$F$1000,"&gt;"&amp;F262)+1)</f>
        <v>258</v>
      </c>
      <c r="B262" s="3" t="s">
        <v>280</v>
      </c>
      <c r="C262" s="4" t="s">
        <v>38</v>
      </c>
      <c r="D262" s="5" t="str">
        <f aca="false">IF(C262="","",IFERROR(INDEX(Summary!$B$2:$B$14,MATCH(C262,Summary!$A$2:$A$14,0)),"?"))</f>
        <v>Center Back</v>
      </c>
      <c r="E262" s="5" t="str">
        <f aca="false">IF(C262="","",IFERROR(INDEX(Summary!$C$2:$C$14,MATCH(C262,Summary!$A$2:$A$14,0)),"?"))</f>
        <v>Difensori</v>
      </c>
      <c r="F262" s="6" t="n">
        <v>82</v>
      </c>
      <c r="H262" s="7" t="n">
        <f aca="false">IF(OR(B262="",F262=""),"",F262-ROW()/100000)</f>
        <v>81.99738</v>
      </c>
      <c r="I262" s="0" t="str">
        <f aca="false">IF(H262="","",C262&amp;"|"&amp;(COUNTIFS($C$2:$C$1000,C262,$H$2:$H$1000,"&gt;"&amp;H262)+1))</f>
        <v>CB|41</v>
      </c>
    </row>
    <row r="263" customFormat="false" ht="15" hidden="false" customHeight="false" outlineLevel="0" collapsed="false">
      <c r="A263" s="2" t="n">
        <f aca="false">IF(F263="","",COUNTIF($F$2:$F$1000,"&gt;"&amp;F263)+1)</f>
        <v>258</v>
      </c>
      <c r="B263" s="3" t="s">
        <v>281</v>
      </c>
      <c r="C263" s="4" t="s">
        <v>38</v>
      </c>
      <c r="D263" s="5" t="str">
        <f aca="false">IF(C263="","",IFERROR(INDEX(Summary!$B$2:$B$14,MATCH(C263,Summary!$A$2:$A$14,0)),"?"))</f>
        <v>Center Back</v>
      </c>
      <c r="E263" s="5" t="str">
        <f aca="false">IF(C263="","",IFERROR(INDEX(Summary!$C$2:$C$14,MATCH(C263,Summary!$A$2:$A$14,0)),"?"))</f>
        <v>Difensori</v>
      </c>
      <c r="F263" s="6" t="n">
        <v>82</v>
      </c>
      <c r="H263" s="7" t="n">
        <f aca="false">IF(OR(B263="",F263=""),"",F263-ROW()/100000)</f>
        <v>81.99737</v>
      </c>
      <c r="I263" s="0" t="str">
        <f aca="false">IF(H263="","",C263&amp;"|"&amp;(COUNTIFS($C$2:$C$1000,C263,$H$2:$H$1000,"&gt;"&amp;H263)+1))</f>
        <v>CB|42</v>
      </c>
    </row>
    <row r="264" customFormat="false" ht="15" hidden="false" customHeight="false" outlineLevel="0" collapsed="false">
      <c r="A264" s="2" t="n">
        <f aca="false">IF(F264="","",COUNTIF($F$2:$F$1000,"&gt;"&amp;F264)+1)</f>
        <v>258</v>
      </c>
      <c r="B264" s="3" t="s">
        <v>282</v>
      </c>
      <c r="C264" s="4" t="s">
        <v>38</v>
      </c>
      <c r="D264" s="5" t="str">
        <f aca="false">IF(C264="","",IFERROR(INDEX(Summary!$B$2:$B$14,MATCH(C264,Summary!$A$2:$A$14,0)),"?"))</f>
        <v>Center Back</v>
      </c>
      <c r="E264" s="5" t="str">
        <f aca="false">IF(C264="","",IFERROR(INDEX(Summary!$C$2:$C$14,MATCH(C264,Summary!$A$2:$A$14,0)),"?"))</f>
        <v>Difensori</v>
      </c>
      <c r="F264" s="6" t="n">
        <v>82</v>
      </c>
      <c r="H264" s="7" t="n">
        <f aca="false">IF(OR(B264="",F264=""),"",F264-ROW()/100000)</f>
        <v>81.99736</v>
      </c>
      <c r="I264" s="0" t="str">
        <f aca="false">IF(H264="","",C264&amp;"|"&amp;(COUNTIFS($C$2:$C$1000,C264,$H$2:$H$1000,"&gt;"&amp;H264)+1))</f>
        <v>CB|43</v>
      </c>
    </row>
    <row r="265" customFormat="false" ht="15" hidden="false" customHeight="false" outlineLevel="0" collapsed="false">
      <c r="A265" s="2" t="n">
        <f aca="false">IF(F265="","",COUNTIF($F$2:$F$1000,"&gt;"&amp;F265)+1)</f>
        <v>258</v>
      </c>
      <c r="B265" s="3" t="s">
        <v>283</v>
      </c>
      <c r="C265" s="4" t="s">
        <v>38</v>
      </c>
      <c r="D265" s="5" t="str">
        <f aca="false">IF(C265="","",IFERROR(INDEX(Summary!$B$2:$B$14,MATCH(C265,Summary!$A$2:$A$14,0)),"?"))</f>
        <v>Center Back</v>
      </c>
      <c r="E265" s="5" t="str">
        <f aca="false">IF(C265="","",IFERROR(INDEX(Summary!$C$2:$C$14,MATCH(C265,Summary!$A$2:$A$14,0)),"?"))</f>
        <v>Difensori</v>
      </c>
      <c r="F265" s="6" t="n">
        <v>82</v>
      </c>
      <c r="H265" s="7" t="n">
        <f aca="false">IF(OR(B265="",F265=""),"",F265-ROW()/100000)</f>
        <v>81.99735</v>
      </c>
      <c r="I265" s="0" t="str">
        <f aca="false">IF(H265="","",C265&amp;"|"&amp;(COUNTIFS($C$2:$C$1000,C265,$H$2:$H$1000,"&gt;"&amp;H265)+1))</f>
        <v>CB|44</v>
      </c>
    </row>
    <row r="266" customFormat="false" ht="15" hidden="false" customHeight="false" outlineLevel="0" collapsed="false">
      <c r="A266" s="2" t="n">
        <f aca="false">IF(F266="","",COUNTIF($F$2:$F$1000,"&gt;"&amp;F266)+1)</f>
        <v>258</v>
      </c>
      <c r="B266" s="3" t="s">
        <v>284</v>
      </c>
      <c r="C266" s="4" t="s">
        <v>38</v>
      </c>
      <c r="D266" s="5" t="str">
        <f aca="false">IF(C266="","",IFERROR(INDEX(Summary!$B$2:$B$14,MATCH(C266,Summary!$A$2:$A$14,0)),"?"))</f>
        <v>Center Back</v>
      </c>
      <c r="E266" s="5" t="str">
        <f aca="false">IF(C266="","",IFERROR(INDEX(Summary!$C$2:$C$14,MATCH(C266,Summary!$A$2:$A$14,0)),"?"))</f>
        <v>Difensori</v>
      </c>
      <c r="F266" s="6" t="n">
        <v>82</v>
      </c>
      <c r="H266" s="7" t="n">
        <f aca="false">IF(OR(B266="",F266=""),"",F266-ROW()/100000)</f>
        <v>81.99734</v>
      </c>
      <c r="I266" s="0" t="str">
        <f aca="false">IF(H266="","",C266&amp;"|"&amp;(COUNTIFS($C$2:$C$1000,C266,$H$2:$H$1000,"&gt;"&amp;H266)+1))</f>
        <v>CB|45</v>
      </c>
    </row>
    <row r="267" customFormat="false" ht="15" hidden="false" customHeight="false" outlineLevel="0" collapsed="false">
      <c r="A267" s="2" t="n">
        <f aca="false">IF(F267="","",COUNTIF($F$2:$F$1000,"&gt;"&amp;F267)+1)</f>
        <v>258</v>
      </c>
      <c r="B267" s="3" t="s">
        <v>285</v>
      </c>
      <c r="C267" s="4" t="s">
        <v>38</v>
      </c>
      <c r="D267" s="5" t="str">
        <f aca="false">IF(C267="","",IFERROR(INDEX(Summary!$B$2:$B$14,MATCH(C267,Summary!$A$2:$A$14,0)),"?"))</f>
        <v>Center Back</v>
      </c>
      <c r="E267" s="5" t="str">
        <f aca="false">IF(C267="","",IFERROR(INDEX(Summary!$C$2:$C$14,MATCH(C267,Summary!$A$2:$A$14,0)),"?"))</f>
        <v>Difensori</v>
      </c>
      <c r="F267" s="6" t="n">
        <v>82</v>
      </c>
      <c r="H267" s="7" t="n">
        <f aca="false">IF(OR(B267="",F267=""),"",F267-ROW()/100000)</f>
        <v>81.99733</v>
      </c>
      <c r="I267" s="0" t="str">
        <f aca="false">IF(H267="","",C267&amp;"|"&amp;(COUNTIFS($C$2:$C$1000,C267,$H$2:$H$1000,"&gt;"&amp;H267)+1))</f>
        <v>CB|46</v>
      </c>
    </row>
    <row r="268" customFormat="false" ht="15" hidden="false" customHeight="false" outlineLevel="0" collapsed="false">
      <c r="A268" s="2" t="n">
        <f aca="false">IF(F268="","",COUNTIF($F$2:$F$1000,"&gt;"&amp;F268)+1)</f>
        <v>258</v>
      </c>
      <c r="B268" s="3" t="s">
        <v>286</v>
      </c>
      <c r="C268" s="4" t="s">
        <v>38</v>
      </c>
      <c r="D268" s="5" t="str">
        <f aca="false">IF(C268="","",IFERROR(INDEX(Summary!$B$2:$B$14,MATCH(C268,Summary!$A$2:$A$14,0)),"?"))</f>
        <v>Center Back</v>
      </c>
      <c r="E268" s="5" t="str">
        <f aca="false">IF(C268="","",IFERROR(INDEX(Summary!$C$2:$C$14,MATCH(C268,Summary!$A$2:$A$14,0)),"?"))</f>
        <v>Difensori</v>
      </c>
      <c r="F268" s="6" t="n">
        <v>82</v>
      </c>
      <c r="H268" s="7" t="n">
        <f aca="false">IF(OR(B268="",F268=""),"",F268-ROW()/100000)</f>
        <v>81.99732</v>
      </c>
      <c r="I268" s="0" t="str">
        <f aca="false">IF(H268="","",C268&amp;"|"&amp;(COUNTIFS($C$2:$C$1000,C268,$H$2:$H$1000,"&gt;"&amp;H268)+1))</f>
        <v>CB|47</v>
      </c>
    </row>
    <row r="269" customFormat="false" ht="15" hidden="false" customHeight="false" outlineLevel="0" collapsed="false">
      <c r="A269" s="2" t="n">
        <f aca="false">IF(F269="","",COUNTIF($F$2:$F$1000,"&gt;"&amp;F269)+1)</f>
        <v>258</v>
      </c>
      <c r="B269" s="3" t="s">
        <v>287</v>
      </c>
      <c r="C269" s="4" t="s">
        <v>38</v>
      </c>
      <c r="D269" s="5" t="str">
        <f aca="false">IF(C269="","",IFERROR(INDEX(Summary!$B$2:$B$14,MATCH(C269,Summary!$A$2:$A$14,0)),"?"))</f>
        <v>Center Back</v>
      </c>
      <c r="E269" s="5" t="str">
        <f aca="false">IF(C269="","",IFERROR(INDEX(Summary!$C$2:$C$14,MATCH(C269,Summary!$A$2:$A$14,0)),"?"))</f>
        <v>Difensori</v>
      </c>
      <c r="F269" s="6" t="n">
        <v>82</v>
      </c>
      <c r="H269" s="7" t="n">
        <f aca="false">IF(OR(B269="",F269=""),"",F269-ROW()/100000)</f>
        <v>81.99731</v>
      </c>
      <c r="I269" s="0" t="str">
        <f aca="false">IF(H269="","",C269&amp;"|"&amp;(COUNTIFS($C$2:$C$1000,C269,$H$2:$H$1000,"&gt;"&amp;H269)+1))</f>
        <v>CB|48</v>
      </c>
    </row>
    <row r="270" customFormat="false" ht="15" hidden="false" customHeight="false" outlineLevel="0" collapsed="false">
      <c r="A270" s="2" t="n">
        <f aca="false">IF(F270="","",COUNTIF($F$2:$F$1000,"&gt;"&amp;F270)+1)</f>
        <v>258</v>
      </c>
      <c r="B270" s="3" t="s">
        <v>288</v>
      </c>
      <c r="C270" s="4" t="s">
        <v>23</v>
      </c>
      <c r="D270" s="5" t="str">
        <f aca="false">IF(C270="","",IFERROR(INDEX(Summary!$B$2:$B$14,MATCH(C270,Summary!$A$2:$A$14,0)),"?"))</f>
        <v>Left Back</v>
      </c>
      <c r="E270" s="5" t="str">
        <f aca="false">IF(C270="","",IFERROR(INDEX(Summary!$C$2:$C$14,MATCH(C270,Summary!$A$2:$A$14,0)),"?"))</f>
        <v>Difensori</v>
      </c>
      <c r="F270" s="6" t="n">
        <v>82</v>
      </c>
      <c r="H270" s="7" t="n">
        <f aca="false">IF(OR(B270="",F270=""),"",F270-ROW()/100000)</f>
        <v>81.9973</v>
      </c>
      <c r="I270" s="0" t="str">
        <f aca="false">IF(H270="","",C270&amp;"|"&amp;(COUNTIFS($C$2:$C$1000,C270,$H$2:$H$1000,"&gt;"&amp;H270)+1))</f>
        <v>LB|13</v>
      </c>
    </row>
    <row r="271" customFormat="false" ht="15" hidden="false" customHeight="false" outlineLevel="0" collapsed="false">
      <c r="A271" s="2" t="n">
        <f aca="false">IF(F271="","",COUNTIF($F$2:$F$1000,"&gt;"&amp;F271)+1)</f>
        <v>258</v>
      </c>
      <c r="B271" s="3" t="s">
        <v>289</v>
      </c>
      <c r="C271" s="4" t="s">
        <v>23</v>
      </c>
      <c r="D271" s="5" t="str">
        <f aca="false">IF(C271="","",IFERROR(INDEX(Summary!$B$2:$B$14,MATCH(C271,Summary!$A$2:$A$14,0)),"?"))</f>
        <v>Left Back</v>
      </c>
      <c r="E271" s="5" t="str">
        <f aca="false">IF(C271="","",IFERROR(INDEX(Summary!$C$2:$C$14,MATCH(C271,Summary!$A$2:$A$14,0)),"?"))</f>
        <v>Difensori</v>
      </c>
      <c r="F271" s="6" t="n">
        <v>82</v>
      </c>
      <c r="H271" s="7" t="n">
        <f aca="false">IF(OR(B271="",F271=""),"",F271-ROW()/100000)</f>
        <v>81.99729</v>
      </c>
      <c r="I271" s="0" t="str">
        <f aca="false">IF(H271="","",C271&amp;"|"&amp;(COUNTIFS($C$2:$C$1000,C271,$H$2:$H$1000,"&gt;"&amp;H271)+1))</f>
        <v>LB|14</v>
      </c>
    </row>
    <row r="272" customFormat="false" ht="15" hidden="false" customHeight="false" outlineLevel="0" collapsed="false">
      <c r="A272" s="2" t="n">
        <f aca="false">IF(F272="","",COUNTIF($F$2:$F$1000,"&gt;"&amp;F272)+1)</f>
        <v>258</v>
      </c>
      <c r="B272" s="3" t="s">
        <v>290</v>
      </c>
      <c r="C272" s="4" t="s">
        <v>23</v>
      </c>
      <c r="D272" s="5" t="str">
        <f aca="false">IF(C272="","",IFERROR(INDEX(Summary!$B$2:$B$14,MATCH(C272,Summary!$A$2:$A$14,0)),"?"))</f>
        <v>Left Back</v>
      </c>
      <c r="E272" s="5" t="str">
        <f aca="false">IF(C272="","",IFERROR(INDEX(Summary!$C$2:$C$14,MATCH(C272,Summary!$A$2:$A$14,0)),"?"))</f>
        <v>Difensori</v>
      </c>
      <c r="F272" s="6" t="n">
        <v>82</v>
      </c>
      <c r="H272" s="7" t="n">
        <f aca="false">IF(OR(B272="",F272=""),"",F272-ROW()/100000)</f>
        <v>81.99728</v>
      </c>
      <c r="I272" s="0" t="str">
        <f aca="false">IF(H272="","",C272&amp;"|"&amp;(COUNTIFS($C$2:$C$1000,C272,$H$2:$H$1000,"&gt;"&amp;H272)+1))</f>
        <v>LB|15</v>
      </c>
    </row>
    <row r="273" customFormat="false" ht="15" hidden="false" customHeight="false" outlineLevel="0" collapsed="false">
      <c r="A273" s="2" t="n">
        <f aca="false">IF(F273="","",COUNTIF($F$2:$F$1000,"&gt;"&amp;F273)+1)</f>
        <v>258</v>
      </c>
      <c r="B273" s="3" t="s">
        <v>291</v>
      </c>
      <c r="C273" s="4" t="s">
        <v>23</v>
      </c>
      <c r="D273" s="5" t="str">
        <f aca="false">IF(C273="","",IFERROR(INDEX(Summary!$B$2:$B$14,MATCH(C273,Summary!$A$2:$A$14,0)),"?"))</f>
        <v>Left Back</v>
      </c>
      <c r="E273" s="5" t="str">
        <f aca="false">IF(C273="","",IFERROR(INDEX(Summary!$C$2:$C$14,MATCH(C273,Summary!$A$2:$A$14,0)),"?"))</f>
        <v>Difensori</v>
      </c>
      <c r="F273" s="6" t="n">
        <v>82</v>
      </c>
      <c r="H273" s="7" t="n">
        <f aca="false">IF(OR(B273="",F273=""),"",F273-ROW()/100000)</f>
        <v>81.99727</v>
      </c>
      <c r="I273" s="0" t="str">
        <f aca="false">IF(H273="","",C273&amp;"|"&amp;(COUNTIFS($C$2:$C$1000,C273,$H$2:$H$1000,"&gt;"&amp;H273)+1))</f>
        <v>LB|16</v>
      </c>
    </row>
    <row r="274" customFormat="false" ht="15" hidden="false" customHeight="false" outlineLevel="0" collapsed="false">
      <c r="A274" s="2" t="n">
        <f aca="false">IF(F274="","",COUNTIF($F$2:$F$1000,"&gt;"&amp;F274)+1)</f>
        <v>258</v>
      </c>
      <c r="B274" s="3" t="s">
        <v>292</v>
      </c>
      <c r="C274" s="4" t="s">
        <v>61</v>
      </c>
      <c r="D274" s="5" t="str">
        <f aca="false">IF(C274="","",IFERROR(INDEX(Summary!$B$2:$B$14,MATCH(C274,Summary!$A$2:$A$14,0)),"?"))</f>
        <v>Right Back</v>
      </c>
      <c r="E274" s="5" t="str">
        <f aca="false">IF(C274="","",IFERROR(INDEX(Summary!$C$2:$C$14,MATCH(C274,Summary!$A$2:$A$14,0)),"?"))</f>
        <v>Difensori</v>
      </c>
      <c r="F274" s="6" t="n">
        <v>82</v>
      </c>
      <c r="H274" s="7" t="n">
        <f aca="false">IF(OR(B274="",F274=""),"",F274-ROW()/100000)</f>
        <v>81.99726</v>
      </c>
      <c r="I274" s="0" t="str">
        <f aca="false">IF(H274="","",C274&amp;"|"&amp;(COUNTIFS($C$2:$C$1000,C274,$H$2:$H$1000,"&gt;"&amp;H274)+1))</f>
        <v>RB|14</v>
      </c>
    </row>
    <row r="275" customFormat="false" ht="15" hidden="false" customHeight="false" outlineLevel="0" collapsed="false">
      <c r="A275" s="2" t="n">
        <f aca="false">IF(F275="","",COUNTIF($F$2:$F$1000,"&gt;"&amp;F275)+1)</f>
        <v>258</v>
      </c>
      <c r="B275" s="3" t="s">
        <v>293</v>
      </c>
      <c r="C275" s="4" t="s">
        <v>61</v>
      </c>
      <c r="D275" s="5" t="str">
        <f aca="false">IF(C275="","",IFERROR(INDEX(Summary!$B$2:$B$14,MATCH(C275,Summary!$A$2:$A$14,0)),"?"))</f>
        <v>Right Back</v>
      </c>
      <c r="E275" s="5" t="str">
        <f aca="false">IF(C275="","",IFERROR(INDEX(Summary!$C$2:$C$14,MATCH(C275,Summary!$A$2:$A$14,0)),"?"))</f>
        <v>Difensori</v>
      </c>
      <c r="F275" s="6" t="n">
        <v>82</v>
      </c>
      <c r="H275" s="7" t="n">
        <f aca="false">IF(OR(B275="",F275=""),"",F275-ROW()/100000)</f>
        <v>81.99725</v>
      </c>
      <c r="I275" s="0" t="str">
        <f aca="false">IF(H275="","",C275&amp;"|"&amp;(COUNTIFS($C$2:$C$1000,C275,$H$2:$H$1000,"&gt;"&amp;H275)+1))</f>
        <v>RB|15</v>
      </c>
    </row>
    <row r="276" customFormat="false" ht="15" hidden="false" customHeight="false" outlineLevel="0" collapsed="false">
      <c r="A276" s="2" t="n">
        <f aca="false">IF(F276="","",COUNTIF($F$2:$F$1000,"&gt;"&amp;F276)+1)</f>
        <v>258</v>
      </c>
      <c r="B276" s="3" t="s">
        <v>294</v>
      </c>
      <c r="C276" s="4" t="s">
        <v>61</v>
      </c>
      <c r="D276" s="5" t="str">
        <f aca="false">IF(C276="","",IFERROR(INDEX(Summary!$B$2:$B$14,MATCH(C276,Summary!$A$2:$A$14,0)),"?"))</f>
        <v>Right Back</v>
      </c>
      <c r="E276" s="5" t="str">
        <f aca="false">IF(C276="","",IFERROR(INDEX(Summary!$C$2:$C$14,MATCH(C276,Summary!$A$2:$A$14,0)),"?"))</f>
        <v>Difensori</v>
      </c>
      <c r="F276" s="6" t="n">
        <v>82</v>
      </c>
      <c r="H276" s="7" t="n">
        <f aca="false">IF(OR(B276="",F276=""),"",F276-ROW()/100000)</f>
        <v>81.99724</v>
      </c>
      <c r="I276" s="0" t="str">
        <f aca="false">IF(H276="","",C276&amp;"|"&amp;(COUNTIFS($C$2:$C$1000,C276,$H$2:$H$1000,"&gt;"&amp;H276)+1))</f>
        <v>RB|16</v>
      </c>
    </row>
    <row r="277" customFormat="false" ht="15" hidden="false" customHeight="false" outlineLevel="0" collapsed="false">
      <c r="A277" s="2" t="n">
        <f aca="false">IF(F277="","",COUNTIF($F$2:$F$1000,"&gt;"&amp;F277)+1)</f>
        <v>258</v>
      </c>
      <c r="B277" s="3" t="s">
        <v>295</v>
      </c>
      <c r="C277" s="4" t="s">
        <v>51</v>
      </c>
      <c r="D277" s="5" t="str">
        <f aca="false">IF(C277="","",IFERROR(INDEX(Summary!$B$2:$B$14,MATCH(C277,Summary!$A$2:$A$14,0)),"?"))</f>
        <v>Defensive Midfielder</v>
      </c>
      <c r="E277" s="5" t="str">
        <f aca="false">IF(C277="","",IFERROR(INDEX(Summary!$C$2:$C$14,MATCH(C277,Summary!$A$2:$A$14,0)),"?"))</f>
        <v>Centrocampo</v>
      </c>
      <c r="F277" s="6" t="n">
        <v>82</v>
      </c>
      <c r="H277" s="7" t="n">
        <f aca="false">IF(OR(B277="",F277=""),"",F277-ROW()/100000)</f>
        <v>81.99723</v>
      </c>
      <c r="I277" s="0" t="str">
        <f aca="false">IF(H277="","",C277&amp;"|"&amp;(COUNTIFS($C$2:$C$1000,C277,$H$2:$H$1000,"&gt;"&amp;H277)+1))</f>
        <v>DMF|24</v>
      </c>
    </row>
    <row r="278" customFormat="false" ht="15" hidden="false" customHeight="false" outlineLevel="0" collapsed="false">
      <c r="A278" s="2" t="n">
        <f aca="false">IF(F278="","",COUNTIF($F$2:$F$1000,"&gt;"&amp;F278)+1)</f>
        <v>258</v>
      </c>
      <c r="B278" s="3" t="s">
        <v>296</v>
      </c>
      <c r="C278" s="4" t="s">
        <v>51</v>
      </c>
      <c r="D278" s="5" t="str">
        <f aca="false">IF(C278="","",IFERROR(INDEX(Summary!$B$2:$B$14,MATCH(C278,Summary!$A$2:$A$14,0)),"?"))</f>
        <v>Defensive Midfielder</v>
      </c>
      <c r="E278" s="5" t="str">
        <f aca="false">IF(C278="","",IFERROR(INDEX(Summary!$C$2:$C$14,MATCH(C278,Summary!$A$2:$A$14,0)),"?"))</f>
        <v>Centrocampo</v>
      </c>
      <c r="F278" s="6" t="n">
        <v>82</v>
      </c>
      <c r="H278" s="7" t="n">
        <f aca="false">IF(OR(B278="",F278=""),"",F278-ROW()/100000)</f>
        <v>81.99722</v>
      </c>
      <c r="I278" s="0" t="str">
        <f aca="false">IF(H278="","",C278&amp;"|"&amp;(COUNTIFS($C$2:$C$1000,C278,$H$2:$H$1000,"&gt;"&amp;H278)+1))</f>
        <v>DMF|25</v>
      </c>
    </row>
    <row r="279" customFormat="false" ht="15" hidden="false" customHeight="false" outlineLevel="0" collapsed="false">
      <c r="A279" s="2" t="n">
        <f aca="false">IF(F279="","",COUNTIF($F$2:$F$1000,"&gt;"&amp;F279)+1)</f>
        <v>258</v>
      </c>
      <c r="B279" s="3" t="s">
        <v>297</v>
      </c>
      <c r="C279" s="4" t="s">
        <v>51</v>
      </c>
      <c r="D279" s="5" t="str">
        <f aca="false">IF(C279="","",IFERROR(INDEX(Summary!$B$2:$B$14,MATCH(C279,Summary!$A$2:$A$14,0)),"?"))</f>
        <v>Defensive Midfielder</v>
      </c>
      <c r="E279" s="5" t="str">
        <f aca="false">IF(C279="","",IFERROR(INDEX(Summary!$C$2:$C$14,MATCH(C279,Summary!$A$2:$A$14,0)),"?"))</f>
        <v>Centrocampo</v>
      </c>
      <c r="F279" s="6" t="n">
        <v>82</v>
      </c>
      <c r="H279" s="7" t="n">
        <f aca="false">IF(OR(B279="",F279=""),"",F279-ROW()/100000)</f>
        <v>81.99721</v>
      </c>
      <c r="I279" s="0" t="str">
        <f aca="false">IF(H279="","",C279&amp;"|"&amp;(COUNTIFS($C$2:$C$1000,C279,$H$2:$H$1000,"&gt;"&amp;H279)+1))</f>
        <v>DMF|26</v>
      </c>
    </row>
    <row r="280" customFormat="false" ht="15" hidden="false" customHeight="false" outlineLevel="0" collapsed="false">
      <c r="A280" s="2" t="n">
        <f aca="false">IF(F280="","",COUNTIF($F$2:$F$1000,"&gt;"&amp;F280)+1)</f>
        <v>258</v>
      </c>
      <c r="B280" s="3" t="s">
        <v>298</v>
      </c>
      <c r="C280" s="4" t="s">
        <v>11</v>
      </c>
      <c r="D280" s="5" t="str">
        <f aca="false">IF(C280="","",IFERROR(INDEX(Summary!$B$2:$B$14,MATCH(C280,Summary!$A$2:$A$14,0)),"?"))</f>
        <v>Central Midfielder</v>
      </c>
      <c r="E280" s="5" t="str">
        <f aca="false">IF(C280="","",IFERROR(INDEX(Summary!$C$2:$C$14,MATCH(C280,Summary!$A$2:$A$14,0)),"?"))</f>
        <v>Centrocampo</v>
      </c>
      <c r="F280" s="6" t="n">
        <v>82</v>
      </c>
      <c r="H280" s="7" t="n">
        <f aca="false">IF(OR(B280="",F280=""),"",F280-ROW()/100000)</f>
        <v>81.9972</v>
      </c>
      <c r="I280" s="0" t="str">
        <f aca="false">IF(H280="","",C280&amp;"|"&amp;(COUNTIFS($C$2:$C$1000,C280,$H$2:$H$1000,"&gt;"&amp;H280)+1))</f>
        <v>CMF|21</v>
      </c>
    </row>
    <row r="281" customFormat="false" ht="15" hidden="false" customHeight="false" outlineLevel="0" collapsed="false">
      <c r="A281" s="2" t="n">
        <f aca="false">IF(F281="","",COUNTIF($F$2:$F$1000,"&gt;"&amp;F281)+1)</f>
        <v>258</v>
      </c>
      <c r="B281" s="3" t="s">
        <v>299</v>
      </c>
      <c r="C281" s="4" t="s">
        <v>42</v>
      </c>
      <c r="D281" s="5" t="str">
        <f aca="false">IF(C281="","",IFERROR(INDEX(Summary!$B$2:$B$14,MATCH(C281,Summary!$A$2:$A$14,0)),"?"))</f>
        <v>Left Midfielder</v>
      </c>
      <c r="E281" s="5" t="str">
        <f aca="false">IF(C281="","",IFERROR(INDEX(Summary!$C$2:$C$14,MATCH(C281,Summary!$A$2:$A$14,0)),"?"))</f>
        <v>Centrocampo</v>
      </c>
      <c r="F281" s="6" t="n">
        <v>82</v>
      </c>
      <c r="H281" s="7" t="n">
        <f aca="false">IF(OR(B281="",F281=""),"",F281-ROW()/100000)</f>
        <v>81.99719</v>
      </c>
      <c r="I281" s="0" t="str">
        <f aca="false">IF(H281="","",C281&amp;"|"&amp;(COUNTIFS($C$2:$C$1000,C281,$H$2:$H$1000,"&gt;"&amp;H281)+1))</f>
        <v>LMF|18</v>
      </c>
    </row>
    <row r="282" customFormat="false" ht="15" hidden="false" customHeight="false" outlineLevel="0" collapsed="false">
      <c r="A282" s="2" t="n">
        <f aca="false">IF(F282="","",COUNTIF($F$2:$F$1000,"&gt;"&amp;F282)+1)</f>
        <v>258</v>
      </c>
      <c r="B282" s="3" t="s">
        <v>300</v>
      </c>
      <c r="C282" s="4" t="s">
        <v>28</v>
      </c>
      <c r="D282" s="5" t="str">
        <f aca="false">IF(C282="","",IFERROR(INDEX(Summary!$B$2:$B$14,MATCH(C282,Summary!$A$2:$A$14,0)),"?"))</f>
        <v>Right Midfielder</v>
      </c>
      <c r="E282" s="5" t="str">
        <f aca="false">IF(C282="","",IFERROR(INDEX(Summary!$C$2:$C$14,MATCH(C282,Summary!$A$2:$A$14,0)),"?"))</f>
        <v>Centrocampo</v>
      </c>
      <c r="F282" s="6" t="n">
        <v>82</v>
      </c>
      <c r="H282" s="7" t="n">
        <f aca="false">IF(OR(B282="",F282=""),"",F282-ROW()/100000)</f>
        <v>81.99718</v>
      </c>
      <c r="I282" s="0" t="str">
        <f aca="false">IF(H282="","",C282&amp;"|"&amp;(COUNTIFS($C$2:$C$1000,C282,$H$2:$H$1000,"&gt;"&amp;H282)+1))</f>
        <v>RMF|19</v>
      </c>
    </row>
    <row r="283" customFormat="false" ht="15" hidden="false" customHeight="false" outlineLevel="0" collapsed="false">
      <c r="A283" s="2" t="n">
        <f aca="false">IF(F283="","",COUNTIF($F$2:$F$1000,"&gt;"&amp;F283)+1)</f>
        <v>258</v>
      </c>
      <c r="B283" s="3" t="s">
        <v>301</v>
      </c>
      <c r="C283" s="4" t="s">
        <v>31</v>
      </c>
      <c r="D283" s="5" t="str">
        <f aca="false">IF(C283="","",IFERROR(INDEX(Summary!$B$2:$B$14,MATCH(C283,Summary!$A$2:$A$14,0)),"?"))</f>
        <v>Attacking Midfielder</v>
      </c>
      <c r="E283" s="5" t="str">
        <f aca="false">IF(C283="","",IFERROR(INDEX(Summary!$C$2:$C$14,MATCH(C283,Summary!$A$2:$A$14,0)),"?"))</f>
        <v>Centrocampo</v>
      </c>
      <c r="F283" s="6" t="n">
        <v>82</v>
      </c>
      <c r="H283" s="7" t="n">
        <f aca="false">IF(OR(B283="",F283=""),"",F283-ROW()/100000)</f>
        <v>81.99717</v>
      </c>
      <c r="I283" s="0" t="str">
        <f aca="false">IF(H283="","",C283&amp;"|"&amp;(COUNTIFS($C$2:$C$1000,C283,$H$2:$H$1000,"&gt;"&amp;H283)+1))</f>
        <v>AMF|20</v>
      </c>
    </row>
    <row r="284" customFormat="false" ht="15" hidden="false" customHeight="false" outlineLevel="0" collapsed="false">
      <c r="A284" s="2" t="n">
        <f aca="false">IF(F284="","",COUNTIF($F$2:$F$1000,"&gt;"&amp;F284)+1)</f>
        <v>258</v>
      </c>
      <c r="B284" s="3" t="s">
        <v>302</v>
      </c>
      <c r="C284" s="4" t="s">
        <v>31</v>
      </c>
      <c r="D284" s="5" t="str">
        <f aca="false">IF(C284="","",IFERROR(INDEX(Summary!$B$2:$B$14,MATCH(C284,Summary!$A$2:$A$14,0)),"?"))</f>
        <v>Attacking Midfielder</v>
      </c>
      <c r="E284" s="5" t="str">
        <f aca="false">IF(C284="","",IFERROR(INDEX(Summary!$C$2:$C$14,MATCH(C284,Summary!$A$2:$A$14,0)),"?"))</f>
        <v>Centrocampo</v>
      </c>
      <c r="F284" s="6" t="n">
        <v>82</v>
      </c>
      <c r="H284" s="7" t="n">
        <f aca="false">IF(OR(B284="",F284=""),"",F284-ROW()/100000)</f>
        <v>81.99716</v>
      </c>
      <c r="I284" s="0" t="str">
        <f aca="false">IF(H284="","",C284&amp;"|"&amp;(COUNTIFS($C$2:$C$1000,C284,$H$2:$H$1000,"&gt;"&amp;H284)+1))</f>
        <v>AMF|21</v>
      </c>
    </row>
    <row r="285" customFormat="false" ht="15" hidden="false" customHeight="false" outlineLevel="0" collapsed="false">
      <c r="A285" s="2" t="n">
        <f aca="false">IF(F285="","",COUNTIF($F$2:$F$1000,"&gt;"&amp;F285)+1)</f>
        <v>258</v>
      </c>
      <c r="B285" s="3" t="s">
        <v>303</v>
      </c>
      <c r="C285" s="4" t="s">
        <v>31</v>
      </c>
      <c r="D285" s="5" t="str">
        <f aca="false">IF(C285="","",IFERROR(INDEX(Summary!$B$2:$B$14,MATCH(C285,Summary!$A$2:$A$14,0)),"?"))</f>
        <v>Attacking Midfielder</v>
      </c>
      <c r="E285" s="5" t="str">
        <f aca="false">IF(C285="","",IFERROR(INDEX(Summary!$C$2:$C$14,MATCH(C285,Summary!$A$2:$A$14,0)),"?"))</f>
        <v>Centrocampo</v>
      </c>
      <c r="F285" s="6" t="n">
        <v>82</v>
      </c>
      <c r="H285" s="7" t="n">
        <f aca="false">IF(OR(B285="",F285=""),"",F285-ROW()/100000)</f>
        <v>81.99715</v>
      </c>
      <c r="I285" s="0" t="str">
        <f aca="false">IF(H285="","",C285&amp;"|"&amp;(COUNTIFS($C$2:$C$1000,C285,$H$2:$H$1000,"&gt;"&amp;H285)+1))</f>
        <v>AMF|22</v>
      </c>
    </row>
    <row r="286" customFormat="false" ht="15" hidden="false" customHeight="false" outlineLevel="0" collapsed="false">
      <c r="A286" s="2" t="n">
        <f aca="false">IF(F286="","",COUNTIF($F$2:$F$1000,"&gt;"&amp;F286)+1)</f>
        <v>258</v>
      </c>
      <c r="B286" s="3" t="s">
        <v>304</v>
      </c>
      <c r="C286" s="4" t="s">
        <v>31</v>
      </c>
      <c r="D286" s="5" t="str">
        <f aca="false">IF(C286="","",IFERROR(INDEX(Summary!$B$2:$B$14,MATCH(C286,Summary!$A$2:$A$14,0)),"?"))</f>
        <v>Attacking Midfielder</v>
      </c>
      <c r="E286" s="5" t="str">
        <f aca="false">IF(C286="","",IFERROR(INDEX(Summary!$C$2:$C$14,MATCH(C286,Summary!$A$2:$A$14,0)),"?"))</f>
        <v>Centrocampo</v>
      </c>
      <c r="F286" s="6" t="n">
        <v>82</v>
      </c>
      <c r="H286" s="7" t="n">
        <f aca="false">IF(OR(B286="",F286=""),"",F286-ROW()/100000)</f>
        <v>81.99714</v>
      </c>
      <c r="I286" s="0" t="str">
        <f aca="false">IF(H286="","",C286&amp;"|"&amp;(COUNTIFS($C$2:$C$1000,C286,$H$2:$H$1000,"&gt;"&amp;H286)+1))</f>
        <v>AMF|23</v>
      </c>
    </row>
    <row r="287" customFormat="false" ht="15" hidden="false" customHeight="false" outlineLevel="0" collapsed="false">
      <c r="A287" s="2" t="n">
        <f aca="false">IF(F287="","",COUNTIF($F$2:$F$1000,"&gt;"&amp;F287)+1)</f>
        <v>258</v>
      </c>
      <c r="B287" s="3" t="s">
        <v>305</v>
      </c>
      <c r="C287" s="4" t="s">
        <v>21</v>
      </c>
      <c r="D287" s="5" t="str">
        <f aca="false">IF(C287="","",IFERROR(INDEX(Summary!$B$2:$B$14,MATCH(C287,Summary!$A$2:$A$14,0)),"?"))</f>
        <v>Center Forward</v>
      </c>
      <c r="E287" s="5" t="str">
        <f aca="false">IF(C287="","",IFERROR(INDEX(Summary!$C$2:$C$14,MATCH(C287,Summary!$A$2:$A$14,0)),"?"))</f>
        <v>Attacco</v>
      </c>
      <c r="F287" s="6" t="n">
        <v>82</v>
      </c>
      <c r="H287" s="7" t="n">
        <f aca="false">IF(OR(B287="",F287=""),"",F287-ROW()/100000)</f>
        <v>81.99713</v>
      </c>
      <c r="I287" s="0" t="str">
        <f aca="false">IF(H287="","",C287&amp;"|"&amp;(COUNTIFS($C$2:$C$1000,C287,$H$2:$H$1000,"&gt;"&amp;H287)+1))</f>
        <v>CF|47</v>
      </c>
    </row>
    <row r="288" customFormat="false" ht="15" hidden="false" customHeight="false" outlineLevel="0" collapsed="false">
      <c r="A288" s="2" t="n">
        <f aca="false">IF(F288="","",COUNTIF($F$2:$F$1000,"&gt;"&amp;F288)+1)</f>
        <v>258</v>
      </c>
      <c r="B288" s="3" t="s">
        <v>306</v>
      </c>
      <c r="C288" s="4" t="s">
        <v>21</v>
      </c>
      <c r="D288" s="5" t="str">
        <f aca="false">IF(C288="","",IFERROR(INDEX(Summary!$B$2:$B$14,MATCH(C288,Summary!$A$2:$A$14,0)),"?"))</f>
        <v>Center Forward</v>
      </c>
      <c r="E288" s="5" t="str">
        <f aca="false">IF(C288="","",IFERROR(INDEX(Summary!$C$2:$C$14,MATCH(C288,Summary!$A$2:$A$14,0)),"?"))</f>
        <v>Attacco</v>
      </c>
      <c r="F288" s="6" t="n">
        <v>82</v>
      </c>
      <c r="H288" s="7" t="n">
        <f aca="false">IF(OR(B288="",F288=""),"",F288-ROW()/100000)</f>
        <v>81.99712</v>
      </c>
      <c r="I288" s="0" t="str">
        <f aca="false">IF(H288="","",C288&amp;"|"&amp;(COUNTIFS($C$2:$C$1000,C288,$H$2:$H$1000,"&gt;"&amp;H288)+1))</f>
        <v>CF|48</v>
      </c>
    </row>
    <row r="289" customFormat="false" ht="15" hidden="false" customHeight="false" outlineLevel="0" collapsed="false">
      <c r="A289" s="2" t="n">
        <f aca="false">IF(F289="","",COUNTIF($F$2:$F$1000,"&gt;"&amp;F289)+1)</f>
        <v>258</v>
      </c>
      <c r="B289" s="3" t="s">
        <v>307</v>
      </c>
      <c r="C289" s="4" t="s">
        <v>21</v>
      </c>
      <c r="D289" s="5" t="str">
        <f aca="false">IF(C289="","",IFERROR(INDEX(Summary!$B$2:$B$14,MATCH(C289,Summary!$A$2:$A$14,0)),"?"))</f>
        <v>Center Forward</v>
      </c>
      <c r="E289" s="5" t="str">
        <f aca="false">IF(C289="","",IFERROR(INDEX(Summary!$C$2:$C$14,MATCH(C289,Summary!$A$2:$A$14,0)),"?"))</f>
        <v>Attacco</v>
      </c>
      <c r="F289" s="6" t="n">
        <v>82</v>
      </c>
      <c r="H289" s="7" t="n">
        <f aca="false">IF(OR(B289="",F289=""),"",F289-ROW()/100000)</f>
        <v>81.99711</v>
      </c>
      <c r="I289" s="0" t="str">
        <f aca="false">IF(H289="","",C289&amp;"|"&amp;(COUNTIFS($C$2:$C$1000,C289,$H$2:$H$1000,"&gt;"&amp;H289)+1))</f>
        <v>CF|49</v>
      </c>
    </row>
    <row r="290" customFormat="false" ht="15" hidden="false" customHeight="false" outlineLevel="0" collapsed="false">
      <c r="A290" s="2" t="n">
        <f aca="false">IF(F290="","",COUNTIF($F$2:$F$1000,"&gt;"&amp;F290)+1)</f>
        <v>289</v>
      </c>
      <c r="B290" s="3" t="s">
        <v>308</v>
      </c>
      <c r="C290" s="4" t="s">
        <v>9</v>
      </c>
      <c r="D290" s="5" t="str">
        <f aca="false">IF(C290="","",IFERROR(INDEX(Summary!$B$2:$B$14,MATCH(C290,Summary!$A$2:$A$14,0)),"?"))</f>
        <v>Goalkeeper</v>
      </c>
      <c r="E290" s="5" t="str">
        <f aca="false">IF(C290="","",IFERROR(INDEX(Summary!$C$2:$C$14,MATCH(C290,Summary!$A$2:$A$14,0)),"?"))</f>
        <v>Portieri</v>
      </c>
      <c r="F290" s="6" t="n">
        <v>81</v>
      </c>
      <c r="H290" s="7" t="n">
        <f aca="false">IF(OR(B290="",F290=""),"",F290-ROW()/100000)</f>
        <v>80.9971</v>
      </c>
      <c r="I290" s="0" t="str">
        <f aca="false">IF(H290="","",C290&amp;"|"&amp;(COUNTIFS($C$2:$C$1000,C290,$H$2:$H$1000,"&gt;"&amp;H290)+1))</f>
        <v>GK|27</v>
      </c>
    </row>
    <row r="291" customFormat="false" ht="15" hidden="false" customHeight="false" outlineLevel="0" collapsed="false">
      <c r="A291" s="2" t="n">
        <f aca="false">IF(F291="","",COUNTIF($F$2:$F$1000,"&gt;"&amp;F291)+1)</f>
        <v>289</v>
      </c>
      <c r="B291" s="3" t="s">
        <v>309</v>
      </c>
      <c r="C291" s="4" t="s">
        <v>9</v>
      </c>
      <c r="D291" s="5" t="str">
        <f aca="false">IF(C291="","",IFERROR(INDEX(Summary!$B$2:$B$14,MATCH(C291,Summary!$A$2:$A$14,0)),"?"))</f>
        <v>Goalkeeper</v>
      </c>
      <c r="E291" s="5" t="str">
        <f aca="false">IF(C291="","",IFERROR(INDEX(Summary!$C$2:$C$14,MATCH(C291,Summary!$A$2:$A$14,0)),"?"))</f>
        <v>Portieri</v>
      </c>
      <c r="F291" s="6" t="n">
        <v>81</v>
      </c>
      <c r="H291" s="7" t="n">
        <f aca="false">IF(OR(B291="",F291=""),"",F291-ROW()/100000)</f>
        <v>80.99709</v>
      </c>
      <c r="I291" s="0" t="str">
        <f aca="false">IF(H291="","",C291&amp;"|"&amp;(COUNTIFS($C$2:$C$1000,C291,$H$2:$H$1000,"&gt;"&amp;H291)+1))</f>
        <v>GK|28</v>
      </c>
    </row>
    <row r="292" customFormat="false" ht="15" hidden="false" customHeight="false" outlineLevel="0" collapsed="false">
      <c r="A292" s="2" t="n">
        <f aca="false">IF(F292="","",COUNTIF($F$2:$F$1000,"&gt;"&amp;F292)+1)</f>
        <v>289</v>
      </c>
      <c r="B292" s="3" t="s">
        <v>310</v>
      </c>
      <c r="C292" s="4" t="s">
        <v>38</v>
      </c>
      <c r="D292" s="5" t="str">
        <f aca="false">IF(C292="","",IFERROR(INDEX(Summary!$B$2:$B$14,MATCH(C292,Summary!$A$2:$A$14,0)),"?"))</f>
        <v>Center Back</v>
      </c>
      <c r="E292" s="5" t="str">
        <f aca="false">IF(C292="","",IFERROR(INDEX(Summary!$C$2:$C$14,MATCH(C292,Summary!$A$2:$A$14,0)),"?"))</f>
        <v>Difensori</v>
      </c>
      <c r="F292" s="6" t="n">
        <v>81</v>
      </c>
      <c r="H292" s="7" t="n">
        <f aca="false">IF(OR(B292="",F292=""),"",F292-ROW()/100000)</f>
        <v>80.99708</v>
      </c>
      <c r="I292" s="0" t="str">
        <f aca="false">IF(H292="","",C292&amp;"|"&amp;(COUNTIFS($C$2:$C$1000,C292,$H$2:$H$1000,"&gt;"&amp;H292)+1))</f>
        <v>CB|49</v>
      </c>
    </row>
    <row r="293" customFormat="false" ht="15" hidden="false" customHeight="false" outlineLevel="0" collapsed="false">
      <c r="A293" s="2" t="n">
        <f aca="false">IF(F293="","",COUNTIF($F$2:$F$1000,"&gt;"&amp;F293)+1)</f>
        <v>289</v>
      </c>
      <c r="B293" s="3" t="s">
        <v>311</v>
      </c>
      <c r="C293" s="4" t="s">
        <v>38</v>
      </c>
      <c r="D293" s="5" t="str">
        <f aca="false">IF(C293="","",IFERROR(INDEX(Summary!$B$2:$B$14,MATCH(C293,Summary!$A$2:$A$14,0)),"?"))</f>
        <v>Center Back</v>
      </c>
      <c r="E293" s="5" t="str">
        <f aca="false">IF(C293="","",IFERROR(INDEX(Summary!$C$2:$C$14,MATCH(C293,Summary!$A$2:$A$14,0)),"?"))</f>
        <v>Difensori</v>
      </c>
      <c r="F293" s="6" t="n">
        <v>81</v>
      </c>
      <c r="H293" s="7" t="n">
        <f aca="false">IF(OR(B293="",F293=""),"",F293-ROW()/100000)</f>
        <v>80.99707</v>
      </c>
      <c r="I293" s="0" t="str">
        <f aca="false">IF(H293="","",C293&amp;"|"&amp;(COUNTIFS($C$2:$C$1000,C293,$H$2:$H$1000,"&gt;"&amp;H293)+1))</f>
        <v>CB|50</v>
      </c>
    </row>
    <row r="294" customFormat="false" ht="15" hidden="false" customHeight="false" outlineLevel="0" collapsed="false">
      <c r="A294" s="2" t="n">
        <f aca="false">IF(F294="","",COUNTIF($F$2:$F$1000,"&gt;"&amp;F294)+1)</f>
        <v>289</v>
      </c>
      <c r="B294" s="3" t="s">
        <v>312</v>
      </c>
      <c r="C294" s="4" t="s">
        <v>38</v>
      </c>
      <c r="D294" s="5" t="str">
        <f aca="false">IF(C294="","",IFERROR(INDEX(Summary!$B$2:$B$14,MATCH(C294,Summary!$A$2:$A$14,0)),"?"))</f>
        <v>Center Back</v>
      </c>
      <c r="E294" s="5" t="str">
        <f aca="false">IF(C294="","",IFERROR(INDEX(Summary!$C$2:$C$14,MATCH(C294,Summary!$A$2:$A$14,0)),"?"))</f>
        <v>Difensori</v>
      </c>
      <c r="F294" s="6" t="n">
        <v>81</v>
      </c>
      <c r="H294" s="7" t="n">
        <f aca="false">IF(OR(B294="",F294=""),"",F294-ROW()/100000)</f>
        <v>80.99706</v>
      </c>
      <c r="I294" s="0" t="str">
        <f aca="false">IF(H294="","",C294&amp;"|"&amp;(COUNTIFS($C$2:$C$1000,C294,$H$2:$H$1000,"&gt;"&amp;H294)+1))</f>
        <v>CB|51</v>
      </c>
    </row>
    <row r="295" customFormat="false" ht="15" hidden="false" customHeight="false" outlineLevel="0" collapsed="false">
      <c r="A295" s="2" t="n">
        <f aca="false">IF(F295="","",COUNTIF($F$2:$F$1000,"&gt;"&amp;F295)+1)</f>
        <v>289</v>
      </c>
      <c r="B295" s="3" t="s">
        <v>313</v>
      </c>
      <c r="C295" s="4" t="s">
        <v>38</v>
      </c>
      <c r="D295" s="5" t="str">
        <f aca="false">IF(C295="","",IFERROR(INDEX(Summary!$B$2:$B$14,MATCH(C295,Summary!$A$2:$A$14,0)),"?"))</f>
        <v>Center Back</v>
      </c>
      <c r="E295" s="5" t="str">
        <f aca="false">IF(C295="","",IFERROR(INDEX(Summary!$C$2:$C$14,MATCH(C295,Summary!$A$2:$A$14,0)),"?"))</f>
        <v>Difensori</v>
      </c>
      <c r="F295" s="6" t="n">
        <v>81</v>
      </c>
      <c r="H295" s="7" t="n">
        <f aca="false">IF(OR(B295="",F295=""),"",F295-ROW()/100000)</f>
        <v>80.99705</v>
      </c>
      <c r="I295" s="0" t="str">
        <f aca="false">IF(H295="","",C295&amp;"|"&amp;(COUNTIFS($C$2:$C$1000,C295,$H$2:$H$1000,"&gt;"&amp;H295)+1))</f>
        <v>CB|52</v>
      </c>
    </row>
    <row r="296" customFormat="false" ht="15" hidden="false" customHeight="false" outlineLevel="0" collapsed="false">
      <c r="A296" s="2" t="n">
        <f aca="false">IF(F296="","",COUNTIF($F$2:$F$1000,"&gt;"&amp;F296)+1)</f>
        <v>289</v>
      </c>
      <c r="B296" s="3" t="s">
        <v>314</v>
      </c>
      <c r="C296" s="4" t="s">
        <v>38</v>
      </c>
      <c r="D296" s="5" t="str">
        <f aca="false">IF(C296="","",IFERROR(INDEX(Summary!$B$2:$B$14,MATCH(C296,Summary!$A$2:$A$14,0)),"?"))</f>
        <v>Center Back</v>
      </c>
      <c r="E296" s="5" t="str">
        <f aca="false">IF(C296="","",IFERROR(INDEX(Summary!$C$2:$C$14,MATCH(C296,Summary!$A$2:$A$14,0)),"?"))</f>
        <v>Difensori</v>
      </c>
      <c r="F296" s="6" t="n">
        <v>81</v>
      </c>
      <c r="H296" s="7" t="n">
        <f aca="false">IF(OR(B296="",F296=""),"",F296-ROW()/100000)</f>
        <v>80.99704</v>
      </c>
      <c r="I296" s="0" t="str">
        <f aca="false">IF(H296="","",C296&amp;"|"&amp;(COUNTIFS($C$2:$C$1000,C296,$H$2:$H$1000,"&gt;"&amp;H296)+1))</f>
        <v>CB|53</v>
      </c>
    </row>
    <row r="297" customFormat="false" ht="15" hidden="false" customHeight="false" outlineLevel="0" collapsed="false">
      <c r="A297" s="2" t="n">
        <f aca="false">IF(F297="","",COUNTIF($F$2:$F$1000,"&gt;"&amp;F297)+1)</f>
        <v>289</v>
      </c>
      <c r="B297" s="3" t="s">
        <v>315</v>
      </c>
      <c r="C297" s="4" t="s">
        <v>23</v>
      </c>
      <c r="D297" s="5" t="str">
        <f aca="false">IF(C297="","",IFERROR(INDEX(Summary!$B$2:$B$14,MATCH(C297,Summary!$A$2:$A$14,0)),"?"))</f>
        <v>Left Back</v>
      </c>
      <c r="E297" s="5" t="str">
        <f aca="false">IF(C297="","",IFERROR(INDEX(Summary!$C$2:$C$14,MATCH(C297,Summary!$A$2:$A$14,0)),"?"))</f>
        <v>Difensori</v>
      </c>
      <c r="F297" s="6" t="n">
        <v>81</v>
      </c>
      <c r="H297" s="7" t="n">
        <f aca="false">IF(OR(B297="",F297=""),"",F297-ROW()/100000)</f>
        <v>80.99703</v>
      </c>
      <c r="I297" s="0" t="str">
        <f aca="false">IF(H297="","",C297&amp;"|"&amp;(COUNTIFS($C$2:$C$1000,C297,$H$2:$H$1000,"&gt;"&amp;H297)+1))</f>
        <v>LB|17</v>
      </c>
    </row>
    <row r="298" customFormat="false" ht="15" hidden="false" customHeight="false" outlineLevel="0" collapsed="false">
      <c r="A298" s="2" t="n">
        <f aca="false">IF(F298="","",COUNTIF($F$2:$F$1000,"&gt;"&amp;F298)+1)</f>
        <v>289</v>
      </c>
      <c r="B298" s="3" t="s">
        <v>316</v>
      </c>
      <c r="C298" s="4" t="s">
        <v>23</v>
      </c>
      <c r="D298" s="5" t="str">
        <f aca="false">IF(C298="","",IFERROR(INDEX(Summary!$B$2:$B$14,MATCH(C298,Summary!$A$2:$A$14,0)),"?"))</f>
        <v>Left Back</v>
      </c>
      <c r="E298" s="5" t="str">
        <f aca="false">IF(C298="","",IFERROR(INDEX(Summary!$C$2:$C$14,MATCH(C298,Summary!$A$2:$A$14,0)),"?"))</f>
        <v>Difensori</v>
      </c>
      <c r="F298" s="6" t="n">
        <v>81</v>
      </c>
      <c r="H298" s="7" t="n">
        <f aca="false">IF(OR(B298="",F298=""),"",F298-ROW()/100000)</f>
        <v>80.99702</v>
      </c>
      <c r="I298" s="0" t="str">
        <f aca="false">IF(H298="","",C298&amp;"|"&amp;(COUNTIFS($C$2:$C$1000,C298,$H$2:$H$1000,"&gt;"&amp;H298)+1))</f>
        <v>LB|18</v>
      </c>
    </row>
    <row r="299" customFormat="false" ht="15" hidden="false" customHeight="false" outlineLevel="0" collapsed="false">
      <c r="A299" s="2" t="n">
        <f aca="false">IF(F299="","",COUNTIF($F$2:$F$1000,"&gt;"&amp;F299)+1)</f>
        <v>289</v>
      </c>
      <c r="B299" s="3" t="s">
        <v>317</v>
      </c>
      <c r="C299" s="4" t="s">
        <v>61</v>
      </c>
      <c r="D299" s="5" t="str">
        <f aca="false">IF(C299="","",IFERROR(INDEX(Summary!$B$2:$B$14,MATCH(C299,Summary!$A$2:$A$14,0)),"?"))</f>
        <v>Right Back</v>
      </c>
      <c r="E299" s="5" t="str">
        <f aca="false">IF(C299="","",IFERROR(INDEX(Summary!$C$2:$C$14,MATCH(C299,Summary!$A$2:$A$14,0)),"?"))</f>
        <v>Difensori</v>
      </c>
      <c r="F299" s="6" t="n">
        <v>81</v>
      </c>
      <c r="H299" s="7" t="n">
        <f aca="false">IF(OR(B299="",F299=""),"",F299-ROW()/100000)</f>
        <v>80.99701</v>
      </c>
      <c r="I299" s="0" t="str">
        <f aca="false">IF(H299="","",C299&amp;"|"&amp;(COUNTIFS($C$2:$C$1000,C299,$H$2:$H$1000,"&gt;"&amp;H299)+1))</f>
        <v>RB|17</v>
      </c>
    </row>
    <row r="300" customFormat="false" ht="15" hidden="false" customHeight="false" outlineLevel="0" collapsed="false">
      <c r="A300" s="2" t="n">
        <f aca="false">IF(F300="","",COUNTIF($F$2:$F$1000,"&gt;"&amp;F300)+1)</f>
        <v>289</v>
      </c>
      <c r="B300" s="3" t="s">
        <v>318</v>
      </c>
      <c r="C300" s="4" t="s">
        <v>61</v>
      </c>
      <c r="D300" s="5" t="str">
        <f aca="false">IF(C300="","",IFERROR(INDEX(Summary!$B$2:$B$14,MATCH(C300,Summary!$A$2:$A$14,0)),"?"))</f>
        <v>Right Back</v>
      </c>
      <c r="E300" s="5" t="str">
        <f aca="false">IF(C300="","",IFERROR(INDEX(Summary!$C$2:$C$14,MATCH(C300,Summary!$A$2:$A$14,0)),"?"))</f>
        <v>Difensori</v>
      </c>
      <c r="F300" s="6" t="n">
        <v>81</v>
      </c>
      <c r="H300" s="7" t="n">
        <f aca="false">IF(OR(B300="",F300=""),"",F300-ROW()/100000)</f>
        <v>80.997</v>
      </c>
      <c r="I300" s="0" t="str">
        <f aca="false">IF(H300="","",C300&amp;"|"&amp;(COUNTIFS($C$2:$C$1000,C300,$H$2:$H$1000,"&gt;"&amp;H300)+1))</f>
        <v>RB|18</v>
      </c>
    </row>
    <row r="301" customFormat="false" ht="15" hidden="false" customHeight="false" outlineLevel="0" collapsed="false">
      <c r="A301" s="2" t="n">
        <f aca="false">IF(F301="","",COUNTIF($F$2:$F$1000,"&gt;"&amp;F301)+1)</f>
        <v>289</v>
      </c>
      <c r="B301" s="3" t="s">
        <v>319</v>
      </c>
      <c r="C301" s="4" t="s">
        <v>61</v>
      </c>
      <c r="D301" s="5" t="str">
        <f aca="false">IF(C301="","",IFERROR(INDEX(Summary!$B$2:$B$14,MATCH(C301,Summary!$A$2:$A$14,0)),"?"))</f>
        <v>Right Back</v>
      </c>
      <c r="E301" s="5" t="str">
        <f aca="false">IF(C301="","",IFERROR(INDEX(Summary!$C$2:$C$14,MATCH(C301,Summary!$A$2:$A$14,0)),"?"))</f>
        <v>Difensori</v>
      </c>
      <c r="F301" s="6" t="n">
        <v>81</v>
      </c>
      <c r="H301" s="7" t="n">
        <f aca="false">IF(OR(B301="",F301=""),"",F301-ROW()/100000)</f>
        <v>80.99699</v>
      </c>
      <c r="I301" s="0" t="str">
        <f aca="false">IF(H301="","",C301&amp;"|"&amp;(COUNTIFS($C$2:$C$1000,C301,$H$2:$H$1000,"&gt;"&amp;H301)+1))</f>
        <v>RB|19</v>
      </c>
    </row>
    <row r="302" customFormat="false" ht="15" hidden="false" customHeight="false" outlineLevel="0" collapsed="false">
      <c r="A302" s="2" t="n">
        <f aca="false">IF(F302="","",COUNTIF($F$2:$F$1000,"&gt;"&amp;F302)+1)</f>
        <v>289</v>
      </c>
      <c r="B302" s="3" t="s">
        <v>320</v>
      </c>
      <c r="C302" s="4" t="s">
        <v>61</v>
      </c>
      <c r="D302" s="5" t="str">
        <f aca="false">IF(C302="","",IFERROR(INDEX(Summary!$B$2:$B$14,MATCH(C302,Summary!$A$2:$A$14,0)),"?"))</f>
        <v>Right Back</v>
      </c>
      <c r="E302" s="5" t="str">
        <f aca="false">IF(C302="","",IFERROR(INDEX(Summary!$C$2:$C$14,MATCH(C302,Summary!$A$2:$A$14,0)),"?"))</f>
        <v>Difensori</v>
      </c>
      <c r="F302" s="6" t="n">
        <v>81</v>
      </c>
      <c r="H302" s="7" t="n">
        <f aca="false">IF(OR(B302="",F302=""),"",F302-ROW()/100000)</f>
        <v>80.99698</v>
      </c>
      <c r="I302" s="0" t="str">
        <f aca="false">IF(H302="","",C302&amp;"|"&amp;(COUNTIFS($C$2:$C$1000,C302,$H$2:$H$1000,"&gt;"&amp;H302)+1))</f>
        <v>RB|20</v>
      </c>
    </row>
    <row r="303" customFormat="false" ht="15" hidden="false" customHeight="false" outlineLevel="0" collapsed="false">
      <c r="A303" s="2" t="n">
        <f aca="false">IF(F303="","",COUNTIF($F$2:$F$1000,"&gt;"&amp;F303)+1)</f>
        <v>289</v>
      </c>
      <c r="B303" s="3" t="s">
        <v>321</v>
      </c>
      <c r="C303" s="4" t="s">
        <v>61</v>
      </c>
      <c r="D303" s="5" t="str">
        <f aca="false">IF(C303="","",IFERROR(INDEX(Summary!$B$2:$B$14,MATCH(C303,Summary!$A$2:$A$14,0)),"?"))</f>
        <v>Right Back</v>
      </c>
      <c r="E303" s="5" t="str">
        <f aca="false">IF(C303="","",IFERROR(INDEX(Summary!$C$2:$C$14,MATCH(C303,Summary!$A$2:$A$14,0)),"?"))</f>
        <v>Difensori</v>
      </c>
      <c r="F303" s="6" t="n">
        <v>81</v>
      </c>
      <c r="H303" s="7" t="n">
        <f aca="false">IF(OR(B303="",F303=""),"",F303-ROW()/100000)</f>
        <v>80.99697</v>
      </c>
      <c r="I303" s="0" t="str">
        <f aca="false">IF(H303="","",C303&amp;"|"&amp;(COUNTIFS($C$2:$C$1000,C303,$H$2:$H$1000,"&gt;"&amp;H303)+1))</f>
        <v>RB|21</v>
      </c>
    </row>
    <row r="304" customFormat="false" ht="15" hidden="false" customHeight="false" outlineLevel="0" collapsed="false">
      <c r="A304" s="2" t="n">
        <f aca="false">IF(F304="","",COUNTIF($F$2:$F$1000,"&gt;"&amp;F304)+1)</f>
        <v>289</v>
      </c>
      <c r="B304" s="3" t="s">
        <v>322</v>
      </c>
      <c r="C304" s="4" t="s">
        <v>51</v>
      </c>
      <c r="D304" s="5" t="str">
        <f aca="false">IF(C304="","",IFERROR(INDEX(Summary!$B$2:$B$14,MATCH(C304,Summary!$A$2:$A$14,0)),"?"))</f>
        <v>Defensive Midfielder</v>
      </c>
      <c r="E304" s="5" t="str">
        <f aca="false">IF(C304="","",IFERROR(INDEX(Summary!$C$2:$C$14,MATCH(C304,Summary!$A$2:$A$14,0)),"?"))</f>
        <v>Centrocampo</v>
      </c>
      <c r="F304" s="6" t="n">
        <v>81</v>
      </c>
      <c r="H304" s="7" t="n">
        <f aca="false">IF(OR(B304="",F304=""),"",F304-ROW()/100000)</f>
        <v>80.99696</v>
      </c>
      <c r="I304" s="0" t="str">
        <f aca="false">IF(H304="","",C304&amp;"|"&amp;(COUNTIFS($C$2:$C$1000,C304,$H$2:$H$1000,"&gt;"&amp;H304)+1))</f>
        <v>DMF|27</v>
      </c>
    </row>
    <row r="305" customFormat="false" ht="15" hidden="false" customHeight="false" outlineLevel="0" collapsed="false">
      <c r="A305" s="2" t="n">
        <f aca="false">IF(F305="","",COUNTIF($F$2:$F$1000,"&gt;"&amp;F305)+1)</f>
        <v>289</v>
      </c>
      <c r="B305" s="3" t="s">
        <v>323</v>
      </c>
      <c r="C305" s="4" t="s">
        <v>51</v>
      </c>
      <c r="D305" s="5" t="str">
        <f aca="false">IF(C305="","",IFERROR(INDEX(Summary!$B$2:$B$14,MATCH(C305,Summary!$A$2:$A$14,0)),"?"))</f>
        <v>Defensive Midfielder</v>
      </c>
      <c r="E305" s="5" t="str">
        <f aca="false">IF(C305="","",IFERROR(INDEX(Summary!$C$2:$C$14,MATCH(C305,Summary!$A$2:$A$14,0)),"?"))</f>
        <v>Centrocampo</v>
      </c>
      <c r="F305" s="6" t="n">
        <v>81</v>
      </c>
      <c r="H305" s="7" t="n">
        <f aca="false">IF(OR(B305="",F305=""),"",F305-ROW()/100000)</f>
        <v>80.99695</v>
      </c>
      <c r="I305" s="0" t="str">
        <f aca="false">IF(H305="","",C305&amp;"|"&amp;(COUNTIFS($C$2:$C$1000,C305,$H$2:$H$1000,"&gt;"&amp;H305)+1))</f>
        <v>DMF|28</v>
      </c>
    </row>
    <row r="306" customFormat="false" ht="15" hidden="false" customHeight="false" outlineLevel="0" collapsed="false">
      <c r="A306" s="2" t="n">
        <f aca="false">IF(F306="","",COUNTIF($F$2:$F$1000,"&gt;"&amp;F306)+1)</f>
        <v>289</v>
      </c>
      <c r="B306" s="3" t="s">
        <v>324</v>
      </c>
      <c r="C306" s="4" t="s">
        <v>11</v>
      </c>
      <c r="D306" s="5" t="str">
        <f aca="false">IF(C306="","",IFERROR(INDEX(Summary!$B$2:$B$14,MATCH(C306,Summary!$A$2:$A$14,0)),"?"))</f>
        <v>Central Midfielder</v>
      </c>
      <c r="E306" s="5" t="str">
        <f aca="false">IF(C306="","",IFERROR(INDEX(Summary!$C$2:$C$14,MATCH(C306,Summary!$A$2:$A$14,0)),"?"))</f>
        <v>Centrocampo</v>
      </c>
      <c r="F306" s="6" t="n">
        <v>81</v>
      </c>
      <c r="H306" s="7" t="n">
        <f aca="false">IF(OR(B306="",F306=""),"",F306-ROW()/100000)</f>
        <v>80.99694</v>
      </c>
      <c r="I306" s="0" t="str">
        <f aca="false">IF(H306="","",C306&amp;"|"&amp;(COUNTIFS($C$2:$C$1000,C306,$H$2:$H$1000,"&gt;"&amp;H306)+1))</f>
        <v>CMF|22</v>
      </c>
    </row>
    <row r="307" customFormat="false" ht="15" hidden="false" customHeight="false" outlineLevel="0" collapsed="false">
      <c r="A307" s="2" t="n">
        <f aca="false">IF(F307="","",COUNTIF($F$2:$F$1000,"&gt;"&amp;F307)+1)</f>
        <v>289</v>
      </c>
      <c r="B307" s="3" t="s">
        <v>325</v>
      </c>
      <c r="C307" s="4" t="s">
        <v>11</v>
      </c>
      <c r="D307" s="5" t="str">
        <f aca="false">IF(C307="","",IFERROR(INDEX(Summary!$B$2:$B$14,MATCH(C307,Summary!$A$2:$A$14,0)),"?"))</f>
        <v>Central Midfielder</v>
      </c>
      <c r="E307" s="5" t="str">
        <f aca="false">IF(C307="","",IFERROR(INDEX(Summary!$C$2:$C$14,MATCH(C307,Summary!$A$2:$A$14,0)),"?"))</f>
        <v>Centrocampo</v>
      </c>
      <c r="F307" s="6" t="n">
        <v>81</v>
      </c>
      <c r="H307" s="7" t="n">
        <f aca="false">IF(OR(B307="",F307=""),"",F307-ROW()/100000)</f>
        <v>80.99693</v>
      </c>
      <c r="I307" s="0" t="str">
        <f aca="false">IF(H307="","",C307&amp;"|"&amp;(COUNTIFS($C$2:$C$1000,C307,$H$2:$H$1000,"&gt;"&amp;H307)+1))</f>
        <v>CMF|23</v>
      </c>
    </row>
    <row r="308" customFormat="false" ht="15" hidden="false" customHeight="false" outlineLevel="0" collapsed="false">
      <c r="A308" s="2" t="n">
        <f aca="false">IF(F308="","",COUNTIF($F$2:$F$1000,"&gt;"&amp;F308)+1)</f>
        <v>289</v>
      </c>
      <c r="B308" s="3" t="s">
        <v>326</v>
      </c>
      <c r="C308" s="4" t="s">
        <v>11</v>
      </c>
      <c r="D308" s="5" t="str">
        <f aca="false">IF(C308="","",IFERROR(INDEX(Summary!$B$2:$B$14,MATCH(C308,Summary!$A$2:$A$14,0)),"?"))</f>
        <v>Central Midfielder</v>
      </c>
      <c r="E308" s="5" t="str">
        <f aca="false">IF(C308="","",IFERROR(INDEX(Summary!$C$2:$C$14,MATCH(C308,Summary!$A$2:$A$14,0)),"?"))</f>
        <v>Centrocampo</v>
      </c>
      <c r="F308" s="6" t="n">
        <v>81</v>
      </c>
      <c r="H308" s="7" t="n">
        <f aca="false">IF(OR(B308="",F308=""),"",F308-ROW()/100000)</f>
        <v>80.99692</v>
      </c>
      <c r="I308" s="0" t="str">
        <f aca="false">IF(H308="","",C308&amp;"|"&amp;(COUNTIFS($C$2:$C$1000,C308,$H$2:$H$1000,"&gt;"&amp;H308)+1))</f>
        <v>CMF|24</v>
      </c>
    </row>
    <row r="309" customFormat="false" ht="15" hidden="false" customHeight="false" outlineLevel="0" collapsed="false">
      <c r="A309" s="2" t="n">
        <f aca="false">IF(F309="","",COUNTIF($F$2:$F$1000,"&gt;"&amp;F309)+1)</f>
        <v>289</v>
      </c>
      <c r="B309" s="3" t="s">
        <v>327</v>
      </c>
      <c r="C309" s="4" t="s">
        <v>11</v>
      </c>
      <c r="D309" s="5" t="str">
        <f aca="false">IF(C309="","",IFERROR(INDEX(Summary!$B$2:$B$14,MATCH(C309,Summary!$A$2:$A$14,0)),"?"))</f>
        <v>Central Midfielder</v>
      </c>
      <c r="E309" s="5" t="str">
        <f aca="false">IF(C309="","",IFERROR(INDEX(Summary!$C$2:$C$14,MATCH(C309,Summary!$A$2:$A$14,0)),"?"))</f>
        <v>Centrocampo</v>
      </c>
      <c r="F309" s="6" t="n">
        <v>81</v>
      </c>
      <c r="H309" s="7" t="n">
        <f aca="false">IF(OR(B309="",F309=""),"",F309-ROW()/100000)</f>
        <v>80.99691</v>
      </c>
      <c r="I309" s="0" t="str">
        <f aca="false">IF(H309="","",C309&amp;"|"&amp;(COUNTIFS($C$2:$C$1000,C309,$H$2:$H$1000,"&gt;"&amp;H309)+1))</f>
        <v>CMF|25</v>
      </c>
    </row>
    <row r="310" customFormat="false" ht="15" hidden="false" customHeight="false" outlineLevel="0" collapsed="false">
      <c r="A310" s="2" t="n">
        <f aca="false">IF(F310="","",COUNTIF($F$2:$F$1000,"&gt;"&amp;F310)+1)</f>
        <v>289</v>
      </c>
      <c r="B310" s="3" t="s">
        <v>328</v>
      </c>
      <c r="C310" s="4" t="s">
        <v>42</v>
      </c>
      <c r="D310" s="5" t="str">
        <f aca="false">IF(C310="","",IFERROR(INDEX(Summary!$B$2:$B$14,MATCH(C310,Summary!$A$2:$A$14,0)),"?"))</f>
        <v>Left Midfielder</v>
      </c>
      <c r="E310" s="5" t="str">
        <f aca="false">IF(C310="","",IFERROR(INDEX(Summary!$C$2:$C$14,MATCH(C310,Summary!$A$2:$A$14,0)),"?"))</f>
        <v>Centrocampo</v>
      </c>
      <c r="F310" s="6" t="n">
        <v>81</v>
      </c>
      <c r="H310" s="7" t="n">
        <f aca="false">IF(OR(B310="",F310=""),"",F310-ROW()/100000)</f>
        <v>80.9969</v>
      </c>
      <c r="I310" s="0" t="str">
        <f aca="false">IF(H310="","",C310&amp;"|"&amp;(COUNTIFS($C$2:$C$1000,C310,$H$2:$H$1000,"&gt;"&amp;H310)+1))</f>
        <v>LMF|19</v>
      </c>
    </row>
    <row r="311" customFormat="false" ht="15" hidden="false" customHeight="false" outlineLevel="0" collapsed="false">
      <c r="A311" s="2" t="n">
        <f aca="false">IF(F311="","",COUNTIF($F$2:$F$1000,"&gt;"&amp;F311)+1)</f>
        <v>289</v>
      </c>
      <c r="B311" s="3" t="s">
        <v>329</v>
      </c>
      <c r="C311" s="4" t="s">
        <v>42</v>
      </c>
      <c r="D311" s="5" t="str">
        <f aca="false">IF(C311="","",IFERROR(INDEX(Summary!$B$2:$B$14,MATCH(C311,Summary!$A$2:$A$14,0)),"?"))</f>
        <v>Left Midfielder</v>
      </c>
      <c r="E311" s="5" t="str">
        <f aca="false">IF(C311="","",IFERROR(INDEX(Summary!$C$2:$C$14,MATCH(C311,Summary!$A$2:$A$14,0)),"?"))</f>
        <v>Centrocampo</v>
      </c>
      <c r="F311" s="6" t="n">
        <v>81</v>
      </c>
      <c r="H311" s="7" t="n">
        <f aca="false">IF(OR(B311="",F311=""),"",F311-ROW()/100000)</f>
        <v>80.99689</v>
      </c>
      <c r="I311" s="0" t="str">
        <f aca="false">IF(H311="","",C311&amp;"|"&amp;(COUNTIFS($C$2:$C$1000,C311,$H$2:$H$1000,"&gt;"&amp;H311)+1))</f>
        <v>LMF|20</v>
      </c>
    </row>
    <row r="312" customFormat="false" ht="15" hidden="false" customHeight="false" outlineLevel="0" collapsed="false">
      <c r="A312" s="2" t="n">
        <f aca="false">IF(F312="","",COUNTIF($F$2:$F$1000,"&gt;"&amp;F312)+1)</f>
        <v>289</v>
      </c>
      <c r="B312" s="3" t="s">
        <v>330</v>
      </c>
      <c r="C312" s="4" t="s">
        <v>28</v>
      </c>
      <c r="D312" s="5" t="str">
        <f aca="false">IF(C312="","",IFERROR(INDEX(Summary!$B$2:$B$14,MATCH(C312,Summary!$A$2:$A$14,0)),"?"))</f>
        <v>Right Midfielder</v>
      </c>
      <c r="E312" s="5" t="str">
        <f aca="false">IF(C312="","",IFERROR(INDEX(Summary!$C$2:$C$14,MATCH(C312,Summary!$A$2:$A$14,0)),"?"))</f>
        <v>Centrocampo</v>
      </c>
      <c r="F312" s="6" t="n">
        <v>81</v>
      </c>
      <c r="H312" s="7" t="n">
        <f aca="false">IF(OR(B312="",F312=""),"",F312-ROW()/100000)</f>
        <v>80.99688</v>
      </c>
      <c r="I312" s="0" t="str">
        <f aca="false">IF(H312="","",C312&amp;"|"&amp;(COUNTIFS($C$2:$C$1000,C312,$H$2:$H$1000,"&gt;"&amp;H312)+1))</f>
        <v>RMF|20</v>
      </c>
    </row>
    <row r="313" customFormat="false" ht="15" hidden="false" customHeight="false" outlineLevel="0" collapsed="false">
      <c r="A313" s="2" t="n">
        <f aca="false">IF(F313="","",COUNTIF($F$2:$F$1000,"&gt;"&amp;F313)+1)</f>
        <v>289</v>
      </c>
      <c r="B313" s="3" t="s">
        <v>331</v>
      </c>
      <c r="C313" s="4" t="s">
        <v>28</v>
      </c>
      <c r="D313" s="5" t="str">
        <f aca="false">IF(C313="","",IFERROR(INDEX(Summary!$B$2:$B$14,MATCH(C313,Summary!$A$2:$A$14,0)),"?"))</f>
        <v>Right Midfielder</v>
      </c>
      <c r="E313" s="5" t="str">
        <f aca="false">IF(C313="","",IFERROR(INDEX(Summary!$C$2:$C$14,MATCH(C313,Summary!$A$2:$A$14,0)),"?"))</f>
        <v>Centrocampo</v>
      </c>
      <c r="F313" s="6" t="n">
        <v>81</v>
      </c>
      <c r="H313" s="7" t="n">
        <f aca="false">IF(OR(B313="",F313=""),"",F313-ROW()/100000)</f>
        <v>80.99687</v>
      </c>
      <c r="I313" s="0" t="str">
        <f aca="false">IF(H313="","",C313&amp;"|"&amp;(COUNTIFS($C$2:$C$1000,C313,$H$2:$H$1000,"&gt;"&amp;H313)+1))</f>
        <v>RMF|21</v>
      </c>
    </row>
    <row r="314" customFormat="false" ht="15" hidden="false" customHeight="false" outlineLevel="0" collapsed="false">
      <c r="A314" s="2" t="n">
        <f aca="false">IF(F314="","",COUNTIF($F$2:$F$1000,"&gt;"&amp;F314)+1)</f>
        <v>289</v>
      </c>
      <c r="B314" s="3" t="s">
        <v>332</v>
      </c>
      <c r="C314" s="4" t="s">
        <v>31</v>
      </c>
      <c r="D314" s="5" t="str">
        <f aca="false">IF(C314="","",IFERROR(INDEX(Summary!$B$2:$B$14,MATCH(C314,Summary!$A$2:$A$14,0)),"?"))</f>
        <v>Attacking Midfielder</v>
      </c>
      <c r="E314" s="5" t="str">
        <f aca="false">IF(C314="","",IFERROR(INDEX(Summary!$C$2:$C$14,MATCH(C314,Summary!$A$2:$A$14,0)),"?"))</f>
        <v>Centrocampo</v>
      </c>
      <c r="F314" s="6" t="n">
        <v>81</v>
      </c>
      <c r="H314" s="7" t="n">
        <f aca="false">IF(OR(B314="",F314=""),"",F314-ROW()/100000)</f>
        <v>80.99686</v>
      </c>
      <c r="I314" s="0" t="str">
        <f aca="false">IF(H314="","",C314&amp;"|"&amp;(COUNTIFS($C$2:$C$1000,C314,$H$2:$H$1000,"&gt;"&amp;H314)+1))</f>
        <v>AMF|24</v>
      </c>
    </row>
    <row r="315" customFormat="false" ht="15" hidden="false" customHeight="false" outlineLevel="0" collapsed="false">
      <c r="A315" s="2" t="n">
        <f aca="false">IF(F315="","",COUNTIF($F$2:$F$1000,"&gt;"&amp;F315)+1)</f>
        <v>289</v>
      </c>
      <c r="B315" s="3" t="s">
        <v>333</v>
      </c>
      <c r="C315" s="4" t="s">
        <v>17</v>
      </c>
      <c r="D315" s="5" t="str">
        <f aca="false">IF(C315="","",IFERROR(INDEX(Summary!$B$2:$B$14,MATCH(C315,Summary!$A$2:$A$14,0)),"?"))</f>
        <v>Right Wing Forward</v>
      </c>
      <c r="E315" s="5" t="str">
        <f aca="false">IF(C315="","",IFERROR(INDEX(Summary!$C$2:$C$14,MATCH(C315,Summary!$A$2:$A$14,0)),"?"))</f>
        <v>Attacco</v>
      </c>
      <c r="F315" s="6" t="n">
        <v>81</v>
      </c>
      <c r="H315" s="7" t="n">
        <f aca="false">IF(OR(B315="",F315=""),"",F315-ROW()/100000)</f>
        <v>80.99685</v>
      </c>
      <c r="I315" s="0" t="str">
        <f aca="false">IF(H315="","",C315&amp;"|"&amp;(COUNTIFS($C$2:$C$1000,C315,$H$2:$H$1000,"&gt;"&amp;H315)+1))</f>
        <v>RWF|6</v>
      </c>
    </row>
    <row r="316" customFormat="false" ht="15" hidden="false" customHeight="false" outlineLevel="0" collapsed="false">
      <c r="A316" s="2" t="n">
        <f aca="false">IF(F316="","",COUNTIF($F$2:$F$1000,"&gt;"&amp;F316)+1)</f>
        <v>289</v>
      </c>
      <c r="B316" s="3" t="s">
        <v>334</v>
      </c>
      <c r="C316" s="4" t="s">
        <v>19</v>
      </c>
      <c r="D316" s="5" t="str">
        <f aca="false">IF(C316="","",IFERROR(INDEX(Summary!$B$2:$B$14,MATCH(C316,Summary!$A$2:$A$14,0)),"?"))</f>
        <v>Second Striker</v>
      </c>
      <c r="E316" s="5" t="str">
        <f aca="false">IF(C316="","",IFERROR(INDEX(Summary!$C$2:$C$14,MATCH(C316,Summary!$A$2:$A$14,0)),"?"))</f>
        <v>Attacco</v>
      </c>
      <c r="F316" s="6" t="n">
        <v>81</v>
      </c>
      <c r="H316" s="7" t="n">
        <f aca="false">IF(OR(B316="",F316=""),"",F316-ROW()/100000)</f>
        <v>80.99684</v>
      </c>
      <c r="I316" s="0" t="str">
        <f aca="false">IF(H316="","",C316&amp;"|"&amp;(COUNTIFS($C$2:$C$1000,C316,$H$2:$H$1000,"&gt;"&amp;H316)+1))</f>
        <v>SS|14</v>
      </c>
    </row>
    <row r="317" customFormat="false" ht="15" hidden="false" customHeight="false" outlineLevel="0" collapsed="false">
      <c r="A317" s="2" t="n">
        <f aca="false">IF(F317="","",COUNTIF($F$2:$F$1000,"&gt;"&amp;F317)+1)</f>
        <v>289</v>
      </c>
      <c r="B317" s="3" t="s">
        <v>335</v>
      </c>
      <c r="C317" s="4" t="s">
        <v>19</v>
      </c>
      <c r="D317" s="5" t="str">
        <f aca="false">IF(C317="","",IFERROR(INDEX(Summary!$B$2:$B$14,MATCH(C317,Summary!$A$2:$A$14,0)),"?"))</f>
        <v>Second Striker</v>
      </c>
      <c r="E317" s="5" t="str">
        <f aca="false">IF(C317="","",IFERROR(INDEX(Summary!$C$2:$C$14,MATCH(C317,Summary!$A$2:$A$14,0)),"?"))</f>
        <v>Attacco</v>
      </c>
      <c r="F317" s="6" t="n">
        <v>81</v>
      </c>
      <c r="H317" s="7" t="n">
        <f aca="false">IF(OR(B317="",F317=""),"",F317-ROW()/100000)</f>
        <v>80.99683</v>
      </c>
      <c r="I317" s="0" t="str">
        <f aca="false">IF(H317="","",C317&amp;"|"&amp;(COUNTIFS($C$2:$C$1000,C317,$H$2:$H$1000,"&gt;"&amp;H317)+1))</f>
        <v>SS|15</v>
      </c>
    </row>
    <row r="318" customFormat="false" ht="15" hidden="false" customHeight="false" outlineLevel="0" collapsed="false">
      <c r="A318" s="2" t="n">
        <f aca="false">IF(F318="","",COUNTIF($F$2:$F$1000,"&gt;"&amp;F318)+1)</f>
        <v>289</v>
      </c>
      <c r="B318" s="3" t="s">
        <v>336</v>
      </c>
      <c r="C318" s="4" t="s">
        <v>21</v>
      </c>
      <c r="D318" s="5" t="str">
        <f aca="false">IF(C318="","",IFERROR(INDEX(Summary!$B$2:$B$14,MATCH(C318,Summary!$A$2:$A$14,0)),"?"))</f>
        <v>Center Forward</v>
      </c>
      <c r="E318" s="5" t="str">
        <f aca="false">IF(C318="","",IFERROR(INDEX(Summary!$C$2:$C$14,MATCH(C318,Summary!$A$2:$A$14,0)),"?"))</f>
        <v>Attacco</v>
      </c>
      <c r="F318" s="6" t="n">
        <v>81</v>
      </c>
      <c r="H318" s="7" t="n">
        <f aca="false">IF(OR(B318="",F318=""),"",F318-ROW()/100000)</f>
        <v>80.99682</v>
      </c>
      <c r="I318" s="0" t="str">
        <f aca="false">IF(H318="","",C318&amp;"|"&amp;(COUNTIFS($C$2:$C$1000,C318,$H$2:$H$1000,"&gt;"&amp;H318)+1))</f>
        <v>CF|50</v>
      </c>
    </row>
    <row r="319" customFormat="false" ht="15" hidden="false" customHeight="false" outlineLevel="0" collapsed="false">
      <c r="A319" s="2" t="n">
        <f aca="false">IF(F319="","",COUNTIF($F$2:$F$1000,"&gt;"&amp;F319)+1)</f>
        <v>318</v>
      </c>
      <c r="B319" s="3" t="s">
        <v>337</v>
      </c>
      <c r="C319" s="4" t="s">
        <v>9</v>
      </c>
      <c r="D319" s="5" t="str">
        <f aca="false">IF(C319="","",IFERROR(INDEX(Summary!$B$2:$B$14,MATCH(C319,Summary!$A$2:$A$14,0)),"?"))</f>
        <v>Goalkeeper</v>
      </c>
      <c r="E319" s="5" t="str">
        <f aca="false">IF(C319="","",IFERROR(INDEX(Summary!$C$2:$C$14,MATCH(C319,Summary!$A$2:$A$14,0)),"?"))</f>
        <v>Portieri</v>
      </c>
      <c r="F319" s="6" t="n">
        <v>80</v>
      </c>
      <c r="H319" s="7" t="n">
        <f aca="false">IF(OR(B319="",F319=""),"",F319-ROW()/100000)</f>
        <v>79.99681</v>
      </c>
      <c r="I319" s="0" t="str">
        <f aca="false">IF(H319="","",C319&amp;"|"&amp;(COUNTIFS($C$2:$C$1000,C319,$H$2:$H$1000,"&gt;"&amp;H319)+1))</f>
        <v>GK|29</v>
      </c>
    </row>
    <row r="320" customFormat="false" ht="15" hidden="false" customHeight="false" outlineLevel="0" collapsed="false">
      <c r="A320" s="2" t="n">
        <f aca="false">IF(F320="","",COUNTIF($F$2:$F$1000,"&gt;"&amp;F320)+1)</f>
        <v>318</v>
      </c>
      <c r="B320" s="3" t="s">
        <v>338</v>
      </c>
      <c r="C320" s="4" t="s">
        <v>9</v>
      </c>
      <c r="D320" s="5" t="str">
        <f aca="false">IF(C320="","",IFERROR(INDEX(Summary!$B$2:$B$14,MATCH(C320,Summary!$A$2:$A$14,0)),"?"))</f>
        <v>Goalkeeper</v>
      </c>
      <c r="E320" s="5" t="str">
        <f aca="false">IF(C320="","",IFERROR(INDEX(Summary!$C$2:$C$14,MATCH(C320,Summary!$A$2:$A$14,0)),"?"))</f>
        <v>Portieri</v>
      </c>
      <c r="F320" s="6" t="n">
        <v>80</v>
      </c>
      <c r="H320" s="7" t="n">
        <f aca="false">IF(OR(B320="",F320=""),"",F320-ROW()/100000)</f>
        <v>79.9968</v>
      </c>
      <c r="I320" s="0" t="str">
        <f aca="false">IF(H320="","",C320&amp;"|"&amp;(COUNTIFS($C$2:$C$1000,C320,$H$2:$H$1000,"&gt;"&amp;H320)+1))</f>
        <v>GK|30</v>
      </c>
    </row>
    <row r="321" customFormat="false" ht="15" hidden="false" customHeight="false" outlineLevel="0" collapsed="false">
      <c r="A321" s="2" t="n">
        <f aca="false">IF(F321="","",COUNTIF($F$2:$F$1000,"&gt;"&amp;F321)+1)</f>
        <v>318</v>
      </c>
      <c r="B321" s="3" t="s">
        <v>339</v>
      </c>
      <c r="C321" s="4" t="s">
        <v>9</v>
      </c>
      <c r="D321" s="5" t="str">
        <f aca="false">IF(C321="","",IFERROR(INDEX(Summary!$B$2:$B$14,MATCH(C321,Summary!$A$2:$A$14,0)),"?"))</f>
        <v>Goalkeeper</v>
      </c>
      <c r="E321" s="5" t="str">
        <f aca="false">IF(C321="","",IFERROR(INDEX(Summary!$C$2:$C$14,MATCH(C321,Summary!$A$2:$A$14,0)),"?"))</f>
        <v>Portieri</v>
      </c>
      <c r="F321" s="6" t="n">
        <v>80</v>
      </c>
      <c r="H321" s="7" t="n">
        <f aca="false">IF(OR(B321="",F321=""),"",F321-ROW()/100000)</f>
        <v>79.99679</v>
      </c>
      <c r="I321" s="0" t="str">
        <f aca="false">IF(H321="","",C321&amp;"|"&amp;(COUNTIFS($C$2:$C$1000,C321,$H$2:$H$1000,"&gt;"&amp;H321)+1))</f>
        <v>GK|31</v>
      </c>
    </row>
    <row r="322" customFormat="false" ht="15" hidden="false" customHeight="false" outlineLevel="0" collapsed="false">
      <c r="A322" s="2" t="n">
        <f aca="false">IF(F322="","",COUNTIF($F$2:$F$1000,"&gt;"&amp;F322)+1)</f>
        <v>318</v>
      </c>
      <c r="B322" s="3" t="s">
        <v>340</v>
      </c>
      <c r="C322" s="4" t="s">
        <v>9</v>
      </c>
      <c r="D322" s="5" t="str">
        <f aca="false">IF(C322="","",IFERROR(INDEX(Summary!$B$2:$B$14,MATCH(C322,Summary!$A$2:$A$14,0)),"?"))</f>
        <v>Goalkeeper</v>
      </c>
      <c r="E322" s="5" t="str">
        <f aca="false">IF(C322="","",IFERROR(INDEX(Summary!$C$2:$C$14,MATCH(C322,Summary!$A$2:$A$14,0)),"?"))</f>
        <v>Portieri</v>
      </c>
      <c r="F322" s="6" t="n">
        <v>80</v>
      </c>
      <c r="H322" s="7" t="n">
        <f aca="false">IF(OR(B322="",F322=""),"",F322-ROW()/100000)</f>
        <v>79.99678</v>
      </c>
      <c r="I322" s="0" t="str">
        <f aca="false">IF(H322="","",C322&amp;"|"&amp;(COUNTIFS($C$2:$C$1000,C322,$H$2:$H$1000,"&gt;"&amp;H322)+1))</f>
        <v>GK|32</v>
      </c>
    </row>
    <row r="323" customFormat="false" ht="15" hidden="false" customHeight="false" outlineLevel="0" collapsed="false">
      <c r="A323" s="2" t="n">
        <f aca="false">IF(F323="","",COUNTIF($F$2:$F$1000,"&gt;"&amp;F323)+1)</f>
        <v>318</v>
      </c>
      <c r="B323" s="3" t="s">
        <v>341</v>
      </c>
      <c r="C323" s="4" t="s">
        <v>38</v>
      </c>
      <c r="D323" s="5" t="str">
        <f aca="false">IF(C323="","",IFERROR(INDEX(Summary!$B$2:$B$14,MATCH(C323,Summary!$A$2:$A$14,0)),"?"))</f>
        <v>Center Back</v>
      </c>
      <c r="E323" s="5" t="str">
        <f aca="false">IF(C323="","",IFERROR(INDEX(Summary!$C$2:$C$14,MATCH(C323,Summary!$A$2:$A$14,0)),"?"))</f>
        <v>Difensori</v>
      </c>
      <c r="F323" s="6" t="n">
        <v>80</v>
      </c>
      <c r="H323" s="7" t="n">
        <f aca="false">IF(OR(B323="",F323=""),"",F323-ROW()/100000)</f>
        <v>79.99677</v>
      </c>
      <c r="I323" s="0" t="str">
        <f aca="false">IF(H323="","",C323&amp;"|"&amp;(COUNTIFS($C$2:$C$1000,C323,$H$2:$H$1000,"&gt;"&amp;H323)+1))</f>
        <v>CB|54</v>
      </c>
    </row>
    <row r="324" customFormat="false" ht="15" hidden="false" customHeight="false" outlineLevel="0" collapsed="false">
      <c r="A324" s="2" t="n">
        <f aca="false">IF(F324="","",COUNTIF($F$2:$F$1000,"&gt;"&amp;F324)+1)</f>
        <v>318</v>
      </c>
      <c r="B324" s="3" t="s">
        <v>342</v>
      </c>
      <c r="C324" s="4" t="s">
        <v>38</v>
      </c>
      <c r="D324" s="5" t="str">
        <f aca="false">IF(C324="","",IFERROR(INDEX(Summary!$B$2:$B$14,MATCH(C324,Summary!$A$2:$A$14,0)),"?"))</f>
        <v>Center Back</v>
      </c>
      <c r="E324" s="5" t="str">
        <f aca="false">IF(C324="","",IFERROR(INDEX(Summary!$C$2:$C$14,MATCH(C324,Summary!$A$2:$A$14,0)),"?"))</f>
        <v>Difensori</v>
      </c>
      <c r="F324" s="6" t="n">
        <v>80</v>
      </c>
      <c r="H324" s="7" t="n">
        <f aca="false">IF(OR(B324="",F324=""),"",F324-ROW()/100000)</f>
        <v>79.99676</v>
      </c>
      <c r="I324" s="0" t="str">
        <f aca="false">IF(H324="","",C324&amp;"|"&amp;(COUNTIFS($C$2:$C$1000,C324,$H$2:$H$1000,"&gt;"&amp;H324)+1))</f>
        <v>CB|55</v>
      </c>
    </row>
    <row r="325" customFormat="false" ht="15" hidden="false" customHeight="false" outlineLevel="0" collapsed="false">
      <c r="A325" s="2" t="n">
        <f aca="false">IF(F325="","",COUNTIF($F$2:$F$1000,"&gt;"&amp;F325)+1)</f>
        <v>318</v>
      </c>
      <c r="B325" s="3" t="s">
        <v>343</v>
      </c>
      <c r="C325" s="4" t="s">
        <v>38</v>
      </c>
      <c r="D325" s="5" t="str">
        <f aca="false">IF(C325="","",IFERROR(INDEX(Summary!$B$2:$B$14,MATCH(C325,Summary!$A$2:$A$14,0)),"?"))</f>
        <v>Center Back</v>
      </c>
      <c r="E325" s="5" t="str">
        <f aca="false">IF(C325="","",IFERROR(INDEX(Summary!$C$2:$C$14,MATCH(C325,Summary!$A$2:$A$14,0)),"?"))</f>
        <v>Difensori</v>
      </c>
      <c r="F325" s="6" t="n">
        <v>80</v>
      </c>
      <c r="H325" s="7" t="n">
        <f aca="false">IF(OR(B325="",F325=""),"",F325-ROW()/100000)</f>
        <v>79.99675</v>
      </c>
      <c r="I325" s="0" t="str">
        <f aca="false">IF(H325="","",C325&amp;"|"&amp;(COUNTIFS($C$2:$C$1000,C325,$H$2:$H$1000,"&gt;"&amp;H325)+1))</f>
        <v>CB|56</v>
      </c>
    </row>
    <row r="326" customFormat="false" ht="15" hidden="false" customHeight="false" outlineLevel="0" collapsed="false">
      <c r="A326" s="2" t="n">
        <f aca="false">IF(F326="","",COUNTIF($F$2:$F$1000,"&gt;"&amp;F326)+1)</f>
        <v>318</v>
      </c>
      <c r="B326" s="3" t="s">
        <v>344</v>
      </c>
      <c r="C326" s="4" t="s">
        <v>38</v>
      </c>
      <c r="D326" s="5" t="str">
        <f aca="false">IF(C326="","",IFERROR(INDEX(Summary!$B$2:$B$14,MATCH(C326,Summary!$A$2:$A$14,0)),"?"))</f>
        <v>Center Back</v>
      </c>
      <c r="E326" s="5" t="str">
        <f aca="false">IF(C326="","",IFERROR(INDEX(Summary!$C$2:$C$14,MATCH(C326,Summary!$A$2:$A$14,0)),"?"))</f>
        <v>Difensori</v>
      </c>
      <c r="F326" s="6" t="n">
        <v>80</v>
      </c>
      <c r="H326" s="7" t="n">
        <f aca="false">IF(OR(B326="",F326=""),"",F326-ROW()/100000)</f>
        <v>79.99674</v>
      </c>
      <c r="I326" s="0" t="str">
        <f aca="false">IF(H326="","",C326&amp;"|"&amp;(COUNTIFS($C$2:$C$1000,C326,$H$2:$H$1000,"&gt;"&amp;H326)+1))</f>
        <v>CB|57</v>
      </c>
    </row>
    <row r="327" customFormat="false" ht="15" hidden="false" customHeight="false" outlineLevel="0" collapsed="false">
      <c r="A327" s="2" t="n">
        <f aca="false">IF(F327="","",COUNTIF($F$2:$F$1000,"&gt;"&amp;F327)+1)</f>
        <v>318</v>
      </c>
      <c r="B327" s="3" t="s">
        <v>345</v>
      </c>
      <c r="C327" s="4" t="s">
        <v>38</v>
      </c>
      <c r="D327" s="5" t="str">
        <f aca="false">IF(C327="","",IFERROR(INDEX(Summary!$B$2:$B$14,MATCH(C327,Summary!$A$2:$A$14,0)),"?"))</f>
        <v>Center Back</v>
      </c>
      <c r="E327" s="5" t="str">
        <f aca="false">IF(C327="","",IFERROR(INDEX(Summary!$C$2:$C$14,MATCH(C327,Summary!$A$2:$A$14,0)),"?"))</f>
        <v>Difensori</v>
      </c>
      <c r="F327" s="6" t="n">
        <v>80</v>
      </c>
      <c r="H327" s="7" t="n">
        <f aca="false">IF(OR(B327="",F327=""),"",F327-ROW()/100000)</f>
        <v>79.99673</v>
      </c>
      <c r="I327" s="0" t="str">
        <f aca="false">IF(H327="","",C327&amp;"|"&amp;(COUNTIFS($C$2:$C$1000,C327,$H$2:$H$1000,"&gt;"&amp;H327)+1))</f>
        <v>CB|58</v>
      </c>
    </row>
    <row r="328" customFormat="false" ht="15" hidden="false" customHeight="false" outlineLevel="0" collapsed="false">
      <c r="A328" s="2" t="n">
        <f aca="false">IF(F328="","",COUNTIF($F$2:$F$1000,"&gt;"&amp;F328)+1)</f>
        <v>318</v>
      </c>
      <c r="B328" s="3" t="s">
        <v>346</v>
      </c>
      <c r="C328" s="4" t="s">
        <v>38</v>
      </c>
      <c r="D328" s="5" t="str">
        <f aca="false">IF(C328="","",IFERROR(INDEX(Summary!$B$2:$B$14,MATCH(C328,Summary!$A$2:$A$14,0)),"?"))</f>
        <v>Center Back</v>
      </c>
      <c r="E328" s="5" t="str">
        <f aca="false">IF(C328="","",IFERROR(INDEX(Summary!$C$2:$C$14,MATCH(C328,Summary!$A$2:$A$14,0)),"?"))</f>
        <v>Difensori</v>
      </c>
      <c r="F328" s="6" t="n">
        <v>80</v>
      </c>
      <c r="H328" s="7" t="n">
        <f aca="false">IF(OR(B328="",F328=""),"",F328-ROW()/100000)</f>
        <v>79.99672</v>
      </c>
      <c r="I328" s="0" t="str">
        <f aca="false">IF(H328="","",C328&amp;"|"&amp;(COUNTIFS($C$2:$C$1000,C328,$H$2:$H$1000,"&gt;"&amp;H328)+1))</f>
        <v>CB|59</v>
      </c>
    </row>
    <row r="329" customFormat="false" ht="15" hidden="false" customHeight="false" outlineLevel="0" collapsed="false">
      <c r="A329" s="2" t="n">
        <f aca="false">IF(F329="","",COUNTIF($F$2:$F$1000,"&gt;"&amp;F329)+1)</f>
        <v>318</v>
      </c>
      <c r="B329" s="3" t="s">
        <v>347</v>
      </c>
      <c r="C329" s="4" t="s">
        <v>38</v>
      </c>
      <c r="D329" s="5" t="str">
        <f aca="false">IF(C329="","",IFERROR(INDEX(Summary!$B$2:$B$14,MATCH(C329,Summary!$A$2:$A$14,0)),"?"))</f>
        <v>Center Back</v>
      </c>
      <c r="E329" s="5" t="str">
        <f aca="false">IF(C329="","",IFERROR(INDEX(Summary!$C$2:$C$14,MATCH(C329,Summary!$A$2:$A$14,0)),"?"))</f>
        <v>Difensori</v>
      </c>
      <c r="F329" s="6" t="n">
        <v>80</v>
      </c>
      <c r="H329" s="7" t="n">
        <f aca="false">IF(OR(B329="",F329=""),"",F329-ROW()/100000)</f>
        <v>79.99671</v>
      </c>
      <c r="I329" s="0" t="str">
        <f aca="false">IF(H329="","",C329&amp;"|"&amp;(COUNTIFS($C$2:$C$1000,C329,$H$2:$H$1000,"&gt;"&amp;H329)+1))</f>
        <v>CB|60</v>
      </c>
    </row>
    <row r="330" customFormat="false" ht="15" hidden="false" customHeight="false" outlineLevel="0" collapsed="false">
      <c r="A330" s="2" t="n">
        <f aca="false">IF(F330="","",COUNTIF($F$2:$F$1000,"&gt;"&amp;F330)+1)</f>
        <v>318</v>
      </c>
      <c r="B330" s="3" t="s">
        <v>348</v>
      </c>
      <c r="C330" s="4" t="s">
        <v>23</v>
      </c>
      <c r="D330" s="5" t="str">
        <f aca="false">IF(C330="","",IFERROR(INDEX(Summary!$B$2:$B$14,MATCH(C330,Summary!$A$2:$A$14,0)),"?"))</f>
        <v>Left Back</v>
      </c>
      <c r="E330" s="5" t="str">
        <f aca="false">IF(C330="","",IFERROR(INDEX(Summary!$C$2:$C$14,MATCH(C330,Summary!$A$2:$A$14,0)),"?"))</f>
        <v>Difensori</v>
      </c>
      <c r="F330" s="6" t="n">
        <v>80</v>
      </c>
      <c r="H330" s="7" t="n">
        <f aca="false">IF(OR(B330="",F330=""),"",F330-ROW()/100000)</f>
        <v>79.9967</v>
      </c>
      <c r="I330" s="0" t="str">
        <f aca="false">IF(H330="","",C330&amp;"|"&amp;(COUNTIFS($C$2:$C$1000,C330,$H$2:$H$1000,"&gt;"&amp;H330)+1))</f>
        <v>LB|19</v>
      </c>
    </row>
    <row r="331" customFormat="false" ht="15" hidden="false" customHeight="false" outlineLevel="0" collapsed="false">
      <c r="A331" s="2" t="n">
        <f aca="false">IF(F331="","",COUNTIF($F$2:$F$1000,"&gt;"&amp;F331)+1)</f>
        <v>318</v>
      </c>
      <c r="B331" s="3" t="s">
        <v>349</v>
      </c>
      <c r="C331" s="4" t="s">
        <v>61</v>
      </c>
      <c r="D331" s="5" t="str">
        <f aca="false">IF(C331="","",IFERROR(INDEX(Summary!$B$2:$B$14,MATCH(C331,Summary!$A$2:$A$14,0)),"?"))</f>
        <v>Right Back</v>
      </c>
      <c r="E331" s="5" t="str">
        <f aca="false">IF(C331="","",IFERROR(INDEX(Summary!$C$2:$C$14,MATCH(C331,Summary!$A$2:$A$14,0)),"?"))</f>
        <v>Difensori</v>
      </c>
      <c r="F331" s="6" t="n">
        <v>80</v>
      </c>
      <c r="H331" s="7" t="n">
        <f aca="false">IF(OR(B331="",F331=""),"",F331-ROW()/100000)</f>
        <v>79.99669</v>
      </c>
      <c r="I331" s="0" t="str">
        <f aca="false">IF(H331="","",C331&amp;"|"&amp;(COUNTIFS($C$2:$C$1000,C331,$H$2:$H$1000,"&gt;"&amp;H331)+1))</f>
        <v>RB|22</v>
      </c>
    </row>
    <row r="332" customFormat="false" ht="15" hidden="false" customHeight="false" outlineLevel="0" collapsed="false">
      <c r="A332" s="2" t="n">
        <f aca="false">IF(F332="","",COUNTIF($F$2:$F$1000,"&gt;"&amp;F332)+1)</f>
        <v>318</v>
      </c>
      <c r="B332" s="3" t="s">
        <v>350</v>
      </c>
      <c r="C332" s="4" t="s">
        <v>61</v>
      </c>
      <c r="D332" s="5" t="str">
        <f aca="false">IF(C332="","",IFERROR(INDEX(Summary!$B$2:$B$14,MATCH(C332,Summary!$A$2:$A$14,0)),"?"))</f>
        <v>Right Back</v>
      </c>
      <c r="E332" s="5" t="str">
        <f aca="false">IF(C332="","",IFERROR(INDEX(Summary!$C$2:$C$14,MATCH(C332,Summary!$A$2:$A$14,0)),"?"))</f>
        <v>Difensori</v>
      </c>
      <c r="F332" s="6" t="n">
        <v>80</v>
      </c>
      <c r="H332" s="7" t="n">
        <f aca="false">IF(OR(B332="",F332=""),"",F332-ROW()/100000)</f>
        <v>79.99668</v>
      </c>
      <c r="I332" s="0" t="str">
        <f aca="false">IF(H332="","",C332&amp;"|"&amp;(COUNTIFS($C$2:$C$1000,C332,$H$2:$H$1000,"&gt;"&amp;H332)+1))</f>
        <v>RB|23</v>
      </c>
    </row>
    <row r="333" customFormat="false" ht="15" hidden="false" customHeight="false" outlineLevel="0" collapsed="false">
      <c r="A333" s="2" t="n">
        <f aca="false">IF(F333="","",COUNTIF($F$2:$F$1000,"&gt;"&amp;F333)+1)</f>
        <v>318</v>
      </c>
      <c r="B333" s="3" t="s">
        <v>351</v>
      </c>
      <c r="C333" s="4" t="s">
        <v>61</v>
      </c>
      <c r="D333" s="5" t="str">
        <f aca="false">IF(C333="","",IFERROR(INDEX(Summary!$B$2:$B$14,MATCH(C333,Summary!$A$2:$A$14,0)),"?"))</f>
        <v>Right Back</v>
      </c>
      <c r="E333" s="5" t="str">
        <f aca="false">IF(C333="","",IFERROR(INDEX(Summary!$C$2:$C$14,MATCH(C333,Summary!$A$2:$A$14,0)),"?"))</f>
        <v>Difensori</v>
      </c>
      <c r="F333" s="6" t="n">
        <v>80</v>
      </c>
      <c r="H333" s="7" t="n">
        <f aca="false">IF(OR(B333="",F333=""),"",F333-ROW()/100000)</f>
        <v>79.99667</v>
      </c>
      <c r="I333" s="0" t="str">
        <f aca="false">IF(H333="","",C333&amp;"|"&amp;(COUNTIFS($C$2:$C$1000,C333,$H$2:$H$1000,"&gt;"&amp;H333)+1))</f>
        <v>RB|24</v>
      </c>
    </row>
    <row r="334" customFormat="false" ht="15" hidden="false" customHeight="false" outlineLevel="0" collapsed="false">
      <c r="A334" s="2" t="n">
        <f aca="false">IF(F334="","",COUNTIF($F$2:$F$1000,"&gt;"&amp;F334)+1)</f>
        <v>318</v>
      </c>
      <c r="B334" s="3" t="s">
        <v>352</v>
      </c>
      <c r="C334" s="4" t="s">
        <v>61</v>
      </c>
      <c r="D334" s="5" t="str">
        <f aca="false">IF(C334="","",IFERROR(INDEX(Summary!$B$2:$B$14,MATCH(C334,Summary!$A$2:$A$14,0)),"?"))</f>
        <v>Right Back</v>
      </c>
      <c r="E334" s="5" t="str">
        <f aca="false">IF(C334="","",IFERROR(INDEX(Summary!$C$2:$C$14,MATCH(C334,Summary!$A$2:$A$14,0)),"?"))</f>
        <v>Difensori</v>
      </c>
      <c r="F334" s="6" t="n">
        <v>80</v>
      </c>
      <c r="H334" s="7" t="n">
        <f aca="false">IF(OR(B334="",F334=""),"",F334-ROW()/100000)</f>
        <v>79.99666</v>
      </c>
      <c r="I334" s="0" t="str">
        <f aca="false">IF(H334="","",C334&amp;"|"&amp;(COUNTIFS($C$2:$C$1000,C334,$H$2:$H$1000,"&gt;"&amp;H334)+1))</f>
        <v>RB|25</v>
      </c>
    </row>
    <row r="335" customFormat="false" ht="15" hidden="false" customHeight="false" outlineLevel="0" collapsed="false">
      <c r="A335" s="2" t="n">
        <f aca="false">IF(F335="","",COUNTIF($F$2:$F$1000,"&gt;"&amp;F335)+1)</f>
        <v>318</v>
      </c>
      <c r="B335" s="3" t="s">
        <v>353</v>
      </c>
      <c r="C335" s="4" t="s">
        <v>51</v>
      </c>
      <c r="D335" s="5" t="str">
        <f aca="false">IF(C335="","",IFERROR(INDEX(Summary!$B$2:$B$14,MATCH(C335,Summary!$A$2:$A$14,0)),"?"))</f>
        <v>Defensive Midfielder</v>
      </c>
      <c r="E335" s="5" t="str">
        <f aca="false">IF(C335="","",IFERROR(INDEX(Summary!$C$2:$C$14,MATCH(C335,Summary!$A$2:$A$14,0)),"?"))</f>
        <v>Centrocampo</v>
      </c>
      <c r="F335" s="6" t="n">
        <v>80</v>
      </c>
      <c r="H335" s="7" t="n">
        <f aca="false">IF(OR(B335="",F335=""),"",F335-ROW()/100000)</f>
        <v>79.99665</v>
      </c>
      <c r="I335" s="0" t="str">
        <f aca="false">IF(H335="","",C335&amp;"|"&amp;(COUNTIFS($C$2:$C$1000,C335,$H$2:$H$1000,"&gt;"&amp;H335)+1))</f>
        <v>DMF|29</v>
      </c>
    </row>
    <row r="336" customFormat="false" ht="15" hidden="false" customHeight="false" outlineLevel="0" collapsed="false">
      <c r="A336" s="2" t="n">
        <f aca="false">IF(F336="","",COUNTIF($F$2:$F$1000,"&gt;"&amp;F336)+1)</f>
        <v>318</v>
      </c>
      <c r="B336" s="3" t="s">
        <v>354</v>
      </c>
      <c r="C336" s="4" t="s">
        <v>51</v>
      </c>
      <c r="D336" s="5" t="str">
        <f aca="false">IF(C336="","",IFERROR(INDEX(Summary!$B$2:$B$14,MATCH(C336,Summary!$A$2:$A$14,0)),"?"))</f>
        <v>Defensive Midfielder</v>
      </c>
      <c r="E336" s="5" t="str">
        <f aca="false">IF(C336="","",IFERROR(INDEX(Summary!$C$2:$C$14,MATCH(C336,Summary!$A$2:$A$14,0)),"?"))</f>
        <v>Centrocampo</v>
      </c>
      <c r="F336" s="6" t="n">
        <v>80</v>
      </c>
      <c r="H336" s="7" t="n">
        <f aca="false">IF(OR(B336="",F336=""),"",F336-ROW()/100000)</f>
        <v>79.99664</v>
      </c>
      <c r="I336" s="0" t="str">
        <f aca="false">IF(H336="","",C336&amp;"|"&amp;(COUNTIFS($C$2:$C$1000,C336,$H$2:$H$1000,"&gt;"&amp;H336)+1))</f>
        <v>DMF|30</v>
      </c>
    </row>
    <row r="337" customFormat="false" ht="15" hidden="false" customHeight="false" outlineLevel="0" collapsed="false">
      <c r="A337" s="2" t="n">
        <f aca="false">IF(F337="","",COUNTIF($F$2:$F$1000,"&gt;"&amp;F337)+1)</f>
        <v>318</v>
      </c>
      <c r="B337" s="3" t="s">
        <v>355</v>
      </c>
      <c r="C337" s="4" t="s">
        <v>11</v>
      </c>
      <c r="D337" s="5" t="str">
        <f aca="false">IF(C337="","",IFERROR(INDEX(Summary!$B$2:$B$14,MATCH(C337,Summary!$A$2:$A$14,0)),"?"))</f>
        <v>Central Midfielder</v>
      </c>
      <c r="E337" s="5" t="str">
        <f aca="false">IF(C337="","",IFERROR(INDEX(Summary!$C$2:$C$14,MATCH(C337,Summary!$A$2:$A$14,0)),"?"))</f>
        <v>Centrocampo</v>
      </c>
      <c r="F337" s="6" t="n">
        <v>80</v>
      </c>
      <c r="H337" s="7" t="n">
        <f aca="false">IF(OR(B337="",F337=""),"",F337-ROW()/100000)</f>
        <v>79.99663</v>
      </c>
      <c r="I337" s="0" t="str">
        <f aca="false">IF(H337="","",C337&amp;"|"&amp;(COUNTIFS($C$2:$C$1000,C337,$H$2:$H$1000,"&gt;"&amp;H337)+1))</f>
        <v>CMF|26</v>
      </c>
    </row>
    <row r="338" customFormat="false" ht="15" hidden="false" customHeight="false" outlineLevel="0" collapsed="false">
      <c r="A338" s="2" t="n">
        <f aca="false">IF(F338="","",COUNTIF($F$2:$F$1000,"&gt;"&amp;F338)+1)</f>
        <v>318</v>
      </c>
      <c r="B338" s="3" t="s">
        <v>356</v>
      </c>
      <c r="C338" s="4" t="s">
        <v>11</v>
      </c>
      <c r="D338" s="5" t="str">
        <f aca="false">IF(C338="","",IFERROR(INDEX(Summary!$B$2:$B$14,MATCH(C338,Summary!$A$2:$A$14,0)),"?"))</f>
        <v>Central Midfielder</v>
      </c>
      <c r="E338" s="5" t="str">
        <f aca="false">IF(C338="","",IFERROR(INDEX(Summary!$C$2:$C$14,MATCH(C338,Summary!$A$2:$A$14,0)),"?"))</f>
        <v>Centrocampo</v>
      </c>
      <c r="F338" s="6" t="n">
        <v>80</v>
      </c>
      <c r="H338" s="7" t="n">
        <f aca="false">IF(OR(B338="",F338=""),"",F338-ROW()/100000)</f>
        <v>79.99662</v>
      </c>
      <c r="I338" s="0" t="str">
        <f aca="false">IF(H338="","",C338&amp;"|"&amp;(COUNTIFS($C$2:$C$1000,C338,$H$2:$H$1000,"&gt;"&amp;H338)+1))</f>
        <v>CMF|27</v>
      </c>
    </row>
    <row r="339" customFormat="false" ht="15" hidden="false" customHeight="false" outlineLevel="0" collapsed="false">
      <c r="A339" s="2" t="n">
        <f aca="false">IF(F339="","",COUNTIF($F$2:$F$1000,"&gt;"&amp;F339)+1)</f>
        <v>318</v>
      </c>
      <c r="B339" s="3" t="s">
        <v>357</v>
      </c>
      <c r="C339" s="4" t="s">
        <v>11</v>
      </c>
      <c r="D339" s="5" t="str">
        <f aca="false">IF(C339="","",IFERROR(INDEX(Summary!$B$2:$B$14,MATCH(C339,Summary!$A$2:$A$14,0)),"?"))</f>
        <v>Central Midfielder</v>
      </c>
      <c r="E339" s="5" t="str">
        <f aca="false">IF(C339="","",IFERROR(INDEX(Summary!$C$2:$C$14,MATCH(C339,Summary!$A$2:$A$14,0)),"?"))</f>
        <v>Centrocampo</v>
      </c>
      <c r="F339" s="6" t="n">
        <v>80</v>
      </c>
      <c r="H339" s="7" t="n">
        <f aca="false">IF(OR(B339="",F339=""),"",F339-ROW()/100000)</f>
        <v>79.99661</v>
      </c>
      <c r="I339" s="0" t="str">
        <f aca="false">IF(H339="","",C339&amp;"|"&amp;(COUNTIFS($C$2:$C$1000,C339,$H$2:$H$1000,"&gt;"&amp;H339)+1))</f>
        <v>CMF|28</v>
      </c>
    </row>
    <row r="340" customFormat="false" ht="15" hidden="false" customHeight="false" outlineLevel="0" collapsed="false">
      <c r="A340" s="2" t="n">
        <f aca="false">IF(F340="","",COUNTIF($F$2:$F$1000,"&gt;"&amp;F340)+1)</f>
        <v>318</v>
      </c>
      <c r="B340" s="3" t="s">
        <v>358</v>
      </c>
      <c r="C340" s="4" t="s">
        <v>42</v>
      </c>
      <c r="D340" s="5" t="str">
        <f aca="false">IF(C340="","",IFERROR(INDEX(Summary!$B$2:$B$14,MATCH(C340,Summary!$A$2:$A$14,0)),"?"))</f>
        <v>Left Midfielder</v>
      </c>
      <c r="E340" s="5" t="str">
        <f aca="false">IF(C340="","",IFERROR(INDEX(Summary!$C$2:$C$14,MATCH(C340,Summary!$A$2:$A$14,0)),"?"))</f>
        <v>Centrocampo</v>
      </c>
      <c r="F340" s="6" t="n">
        <v>80</v>
      </c>
      <c r="H340" s="7" t="n">
        <f aca="false">IF(OR(B340="",F340=""),"",F340-ROW()/100000)</f>
        <v>79.9966</v>
      </c>
      <c r="I340" s="0" t="str">
        <f aca="false">IF(H340="","",C340&amp;"|"&amp;(COUNTIFS($C$2:$C$1000,C340,$H$2:$H$1000,"&gt;"&amp;H340)+1))</f>
        <v>LMF|21</v>
      </c>
    </row>
    <row r="341" customFormat="false" ht="15" hidden="false" customHeight="false" outlineLevel="0" collapsed="false">
      <c r="A341" s="2" t="n">
        <f aca="false">IF(F341="","",COUNTIF($F$2:$F$1000,"&gt;"&amp;F341)+1)</f>
        <v>318</v>
      </c>
      <c r="B341" s="3" t="s">
        <v>359</v>
      </c>
      <c r="C341" s="4" t="s">
        <v>42</v>
      </c>
      <c r="D341" s="5" t="str">
        <f aca="false">IF(C341="","",IFERROR(INDEX(Summary!$B$2:$B$14,MATCH(C341,Summary!$A$2:$A$14,0)),"?"))</f>
        <v>Left Midfielder</v>
      </c>
      <c r="E341" s="5" t="str">
        <f aca="false">IF(C341="","",IFERROR(INDEX(Summary!$C$2:$C$14,MATCH(C341,Summary!$A$2:$A$14,0)),"?"))</f>
        <v>Centrocampo</v>
      </c>
      <c r="F341" s="6" t="n">
        <v>80</v>
      </c>
      <c r="H341" s="7" t="n">
        <f aca="false">IF(OR(B341="",F341=""),"",F341-ROW()/100000)</f>
        <v>79.99659</v>
      </c>
      <c r="I341" s="0" t="str">
        <f aca="false">IF(H341="","",C341&amp;"|"&amp;(COUNTIFS($C$2:$C$1000,C341,$H$2:$H$1000,"&gt;"&amp;H341)+1))</f>
        <v>LMF|22</v>
      </c>
    </row>
    <row r="342" customFormat="false" ht="15" hidden="false" customHeight="false" outlineLevel="0" collapsed="false">
      <c r="A342" s="2" t="n">
        <f aca="false">IF(F342="","",COUNTIF($F$2:$F$1000,"&gt;"&amp;F342)+1)</f>
        <v>318</v>
      </c>
      <c r="B342" s="3" t="s">
        <v>360</v>
      </c>
      <c r="C342" s="4" t="s">
        <v>42</v>
      </c>
      <c r="D342" s="5" t="str">
        <f aca="false">IF(C342="","",IFERROR(INDEX(Summary!$B$2:$B$14,MATCH(C342,Summary!$A$2:$A$14,0)),"?"))</f>
        <v>Left Midfielder</v>
      </c>
      <c r="E342" s="5" t="str">
        <f aca="false">IF(C342="","",IFERROR(INDEX(Summary!$C$2:$C$14,MATCH(C342,Summary!$A$2:$A$14,0)),"?"))</f>
        <v>Centrocampo</v>
      </c>
      <c r="F342" s="6" t="n">
        <v>80</v>
      </c>
      <c r="H342" s="7" t="n">
        <f aca="false">IF(OR(B342="",F342=""),"",F342-ROW()/100000)</f>
        <v>79.99658</v>
      </c>
      <c r="I342" s="0" t="str">
        <f aca="false">IF(H342="","",C342&amp;"|"&amp;(COUNTIFS($C$2:$C$1000,C342,$H$2:$H$1000,"&gt;"&amp;H342)+1))</f>
        <v>LMF|23</v>
      </c>
    </row>
    <row r="343" customFormat="false" ht="15" hidden="false" customHeight="false" outlineLevel="0" collapsed="false">
      <c r="A343" s="2" t="n">
        <f aca="false">IF(F343="","",COUNTIF($F$2:$F$1000,"&gt;"&amp;F343)+1)</f>
        <v>318</v>
      </c>
      <c r="B343" s="3" t="s">
        <v>361</v>
      </c>
      <c r="C343" s="4" t="s">
        <v>28</v>
      </c>
      <c r="D343" s="5" t="str">
        <f aca="false">IF(C343="","",IFERROR(INDEX(Summary!$B$2:$B$14,MATCH(C343,Summary!$A$2:$A$14,0)),"?"))</f>
        <v>Right Midfielder</v>
      </c>
      <c r="E343" s="5" t="str">
        <f aca="false">IF(C343="","",IFERROR(INDEX(Summary!$C$2:$C$14,MATCH(C343,Summary!$A$2:$A$14,0)),"?"))</f>
        <v>Centrocampo</v>
      </c>
      <c r="F343" s="6" t="n">
        <v>80</v>
      </c>
      <c r="H343" s="7" t="n">
        <f aca="false">IF(OR(B343="",F343=""),"",F343-ROW()/100000)</f>
        <v>79.99657</v>
      </c>
      <c r="I343" s="0" t="str">
        <f aca="false">IF(H343="","",C343&amp;"|"&amp;(COUNTIFS($C$2:$C$1000,C343,$H$2:$H$1000,"&gt;"&amp;H343)+1))</f>
        <v>RMF|22</v>
      </c>
    </row>
    <row r="344" customFormat="false" ht="15" hidden="false" customHeight="false" outlineLevel="0" collapsed="false">
      <c r="A344" s="2" t="n">
        <f aca="false">IF(F344="","",COUNTIF($F$2:$F$1000,"&gt;"&amp;F344)+1)</f>
        <v>318</v>
      </c>
      <c r="B344" s="3" t="s">
        <v>362</v>
      </c>
      <c r="C344" s="4" t="s">
        <v>28</v>
      </c>
      <c r="D344" s="5" t="str">
        <f aca="false">IF(C344="","",IFERROR(INDEX(Summary!$B$2:$B$14,MATCH(C344,Summary!$A$2:$A$14,0)),"?"))</f>
        <v>Right Midfielder</v>
      </c>
      <c r="E344" s="5" t="str">
        <f aca="false">IF(C344="","",IFERROR(INDEX(Summary!$C$2:$C$14,MATCH(C344,Summary!$A$2:$A$14,0)),"?"))</f>
        <v>Centrocampo</v>
      </c>
      <c r="F344" s="6" t="n">
        <v>80</v>
      </c>
      <c r="H344" s="7" t="n">
        <f aca="false">IF(OR(B344="",F344=""),"",F344-ROW()/100000)</f>
        <v>79.99656</v>
      </c>
      <c r="I344" s="0" t="str">
        <f aca="false">IF(H344="","",C344&amp;"|"&amp;(COUNTIFS($C$2:$C$1000,C344,$H$2:$H$1000,"&gt;"&amp;H344)+1))</f>
        <v>RMF|23</v>
      </c>
    </row>
    <row r="345" customFormat="false" ht="15" hidden="false" customHeight="false" outlineLevel="0" collapsed="false">
      <c r="A345" s="2" t="n">
        <f aca="false">IF(F345="","",COUNTIF($F$2:$F$1000,"&gt;"&amp;F345)+1)</f>
        <v>318</v>
      </c>
      <c r="B345" s="3" t="s">
        <v>363</v>
      </c>
      <c r="C345" s="4" t="s">
        <v>31</v>
      </c>
      <c r="D345" s="5" t="str">
        <f aca="false">IF(C345="","",IFERROR(INDEX(Summary!$B$2:$B$14,MATCH(C345,Summary!$A$2:$A$14,0)),"?"))</f>
        <v>Attacking Midfielder</v>
      </c>
      <c r="E345" s="5" t="str">
        <f aca="false">IF(C345="","",IFERROR(INDEX(Summary!$C$2:$C$14,MATCH(C345,Summary!$A$2:$A$14,0)),"?"))</f>
        <v>Centrocampo</v>
      </c>
      <c r="F345" s="6" t="n">
        <v>80</v>
      </c>
      <c r="H345" s="7" t="n">
        <f aca="false">IF(OR(B345="",F345=""),"",F345-ROW()/100000)</f>
        <v>79.99655</v>
      </c>
      <c r="I345" s="0" t="str">
        <f aca="false">IF(H345="","",C345&amp;"|"&amp;(COUNTIFS($C$2:$C$1000,C345,$H$2:$H$1000,"&gt;"&amp;H345)+1))</f>
        <v>AMF|25</v>
      </c>
    </row>
    <row r="346" customFormat="false" ht="15" hidden="false" customHeight="false" outlineLevel="0" collapsed="false">
      <c r="A346" s="2" t="n">
        <f aca="false">IF(F346="","",COUNTIF($F$2:$F$1000,"&gt;"&amp;F346)+1)</f>
        <v>318</v>
      </c>
      <c r="B346" s="3" t="s">
        <v>364</v>
      </c>
      <c r="C346" s="4" t="s">
        <v>15</v>
      </c>
      <c r="D346" s="5" t="str">
        <f aca="false">IF(C346="","",IFERROR(INDEX(Summary!$B$2:$B$14,MATCH(C346,Summary!$A$2:$A$14,0)),"?"))</f>
        <v>Left Wing Forward</v>
      </c>
      <c r="E346" s="5" t="str">
        <f aca="false">IF(C346="","",IFERROR(INDEX(Summary!$C$2:$C$14,MATCH(C346,Summary!$A$2:$A$14,0)),"?"))</f>
        <v>Attacco</v>
      </c>
      <c r="F346" s="6" t="n">
        <v>80</v>
      </c>
      <c r="H346" s="7" t="n">
        <f aca="false">IF(OR(B346="",F346=""),"",F346-ROW()/100000)</f>
        <v>79.99654</v>
      </c>
      <c r="I346" s="0" t="str">
        <f aca="false">IF(H346="","",C346&amp;"|"&amp;(COUNTIFS($C$2:$C$1000,C346,$H$2:$H$1000,"&gt;"&amp;H346)+1))</f>
        <v>LWF|9</v>
      </c>
    </row>
    <row r="347" customFormat="false" ht="15" hidden="false" customHeight="false" outlineLevel="0" collapsed="false">
      <c r="A347" s="2" t="n">
        <f aca="false">IF(F347="","",COUNTIF($F$2:$F$1000,"&gt;"&amp;F347)+1)</f>
        <v>318</v>
      </c>
      <c r="B347" s="3" t="s">
        <v>365</v>
      </c>
      <c r="C347" s="4" t="s">
        <v>21</v>
      </c>
      <c r="D347" s="5" t="str">
        <f aca="false">IF(C347="","",IFERROR(INDEX(Summary!$B$2:$B$14,MATCH(C347,Summary!$A$2:$A$14,0)),"?"))</f>
        <v>Center Forward</v>
      </c>
      <c r="E347" s="5" t="str">
        <f aca="false">IF(C347="","",IFERROR(INDEX(Summary!$C$2:$C$14,MATCH(C347,Summary!$A$2:$A$14,0)),"?"))</f>
        <v>Attacco</v>
      </c>
      <c r="F347" s="6" t="n">
        <v>80</v>
      </c>
      <c r="H347" s="7" t="n">
        <f aca="false">IF(OR(B347="",F347=""),"",F347-ROW()/100000)</f>
        <v>79.99653</v>
      </c>
      <c r="I347" s="0" t="str">
        <f aca="false">IF(H347="","",C347&amp;"|"&amp;(COUNTIFS($C$2:$C$1000,C347,$H$2:$H$1000,"&gt;"&amp;H347)+1))</f>
        <v>CF|51</v>
      </c>
    </row>
    <row r="348" customFormat="false" ht="15" hidden="false" customHeight="false" outlineLevel="0" collapsed="false">
      <c r="A348" s="2" t="n">
        <f aca="false">IF(F348="","",COUNTIF($F$2:$F$1000,"&gt;"&amp;F348)+1)</f>
        <v>318</v>
      </c>
      <c r="B348" s="3" t="s">
        <v>366</v>
      </c>
      <c r="C348" s="4" t="s">
        <v>21</v>
      </c>
      <c r="D348" s="5" t="str">
        <f aca="false">IF(C348="","",IFERROR(INDEX(Summary!$B$2:$B$14,MATCH(C348,Summary!$A$2:$A$14,0)),"?"))</f>
        <v>Center Forward</v>
      </c>
      <c r="E348" s="5" t="str">
        <f aca="false">IF(C348="","",IFERROR(INDEX(Summary!$C$2:$C$14,MATCH(C348,Summary!$A$2:$A$14,0)),"?"))</f>
        <v>Attacco</v>
      </c>
      <c r="F348" s="6" t="n">
        <v>80</v>
      </c>
      <c r="H348" s="7" t="n">
        <f aca="false">IF(OR(B348="",F348=""),"",F348-ROW()/100000)</f>
        <v>79.99652</v>
      </c>
      <c r="I348" s="0" t="str">
        <f aca="false">IF(H348="","",C348&amp;"|"&amp;(COUNTIFS($C$2:$C$1000,C348,$H$2:$H$1000,"&gt;"&amp;H348)+1))</f>
        <v>CF|52</v>
      </c>
    </row>
    <row r="349" customFormat="false" ht="15" hidden="false" customHeight="false" outlineLevel="0" collapsed="false">
      <c r="A349" s="2" t="n">
        <f aca="false">IF(F349="","",COUNTIF($F$2:$F$1000,"&gt;"&amp;F349)+1)</f>
        <v>318</v>
      </c>
      <c r="B349" s="3" t="s">
        <v>367</v>
      </c>
      <c r="C349" s="4" t="s">
        <v>21</v>
      </c>
      <c r="D349" s="5" t="str">
        <f aca="false">IF(C349="","",IFERROR(INDEX(Summary!$B$2:$B$14,MATCH(C349,Summary!$A$2:$A$14,0)),"?"))</f>
        <v>Center Forward</v>
      </c>
      <c r="E349" s="5" t="str">
        <f aca="false">IF(C349="","",IFERROR(INDEX(Summary!$C$2:$C$14,MATCH(C349,Summary!$A$2:$A$14,0)),"?"))</f>
        <v>Attacco</v>
      </c>
      <c r="F349" s="6" t="n">
        <v>80</v>
      </c>
      <c r="H349" s="7" t="n">
        <f aca="false">IF(OR(B349="",F349=""),"",F349-ROW()/100000)</f>
        <v>79.99651</v>
      </c>
      <c r="I349" s="0" t="str">
        <f aca="false">IF(H349="","",C349&amp;"|"&amp;(COUNTIFS($C$2:$C$1000,C349,$H$2:$H$1000,"&gt;"&amp;H349)+1))</f>
        <v>CF|53</v>
      </c>
    </row>
    <row r="350" customFormat="false" ht="15" hidden="false" customHeight="false" outlineLevel="0" collapsed="false">
      <c r="A350" s="2" t="n">
        <f aca="false">IF(F350="","",COUNTIF($F$2:$F$1000,"&gt;"&amp;F350)+1)</f>
        <v>349</v>
      </c>
      <c r="B350" s="3" t="s">
        <v>368</v>
      </c>
      <c r="C350" s="4" t="s">
        <v>38</v>
      </c>
      <c r="D350" s="5" t="str">
        <f aca="false">IF(C350="","",IFERROR(INDEX(Summary!$B$2:$B$14,MATCH(C350,Summary!$A$2:$A$14,0)),"?"))</f>
        <v>Center Back</v>
      </c>
      <c r="E350" s="5" t="str">
        <f aca="false">IF(C350="","",IFERROR(INDEX(Summary!$C$2:$C$14,MATCH(C350,Summary!$A$2:$A$14,0)),"?"))</f>
        <v>Difensori</v>
      </c>
      <c r="F350" s="6" t="n">
        <v>79</v>
      </c>
      <c r="H350" s="7" t="n">
        <f aca="false">IF(OR(B350="",F350=""),"",F350-ROW()/100000)</f>
        <v>78.9965</v>
      </c>
      <c r="I350" s="0" t="str">
        <f aca="false">IF(H350="","",C350&amp;"|"&amp;(COUNTIFS($C$2:$C$1000,C350,$H$2:$H$1000,"&gt;"&amp;H350)+1))</f>
        <v>CB|61</v>
      </c>
    </row>
    <row r="351" customFormat="false" ht="15" hidden="false" customHeight="false" outlineLevel="0" collapsed="false">
      <c r="A351" s="2" t="n">
        <f aca="false">IF(F351="","",COUNTIF($F$2:$F$1000,"&gt;"&amp;F351)+1)</f>
        <v>349</v>
      </c>
      <c r="B351" s="3" t="s">
        <v>369</v>
      </c>
      <c r="C351" s="4" t="s">
        <v>38</v>
      </c>
      <c r="D351" s="5" t="str">
        <f aca="false">IF(C351="","",IFERROR(INDEX(Summary!$B$2:$B$14,MATCH(C351,Summary!$A$2:$A$14,0)),"?"))</f>
        <v>Center Back</v>
      </c>
      <c r="E351" s="5" t="str">
        <f aca="false">IF(C351="","",IFERROR(INDEX(Summary!$C$2:$C$14,MATCH(C351,Summary!$A$2:$A$14,0)),"?"))</f>
        <v>Difensori</v>
      </c>
      <c r="F351" s="6" t="n">
        <v>79</v>
      </c>
      <c r="H351" s="7" t="n">
        <f aca="false">IF(OR(B351="",F351=""),"",F351-ROW()/100000)</f>
        <v>78.99649</v>
      </c>
      <c r="I351" s="0" t="str">
        <f aca="false">IF(H351="","",C351&amp;"|"&amp;(COUNTIFS($C$2:$C$1000,C351,$H$2:$H$1000,"&gt;"&amp;H351)+1))</f>
        <v>CB|62</v>
      </c>
    </row>
    <row r="352" customFormat="false" ht="15" hidden="false" customHeight="false" outlineLevel="0" collapsed="false">
      <c r="A352" s="2" t="n">
        <f aca="false">IF(F352="","",COUNTIF($F$2:$F$1000,"&gt;"&amp;F352)+1)</f>
        <v>349</v>
      </c>
      <c r="B352" s="3" t="s">
        <v>370</v>
      </c>
      <c r="C352" s="4" t="s">
        <v>23</v>
      </c>
      <c r="D352" s="5" t="str">
        <f aca="false">IF(C352="","",IFERROR(INDEX(Summary!$B$2:$B$14,MATCH(C352,Summary!$A$2:$A$14,0)),"?"))</f>
        <v>Left Back</v>
      </c>
      <c r="E352" s="5" t="str">
        <f aca="false">IF(C352="","",IFERROR(INDEX(Summary!$C$2:$C$14,MATCH(C352,Summary!$A$2:$A$14,0)),"?"))</f>
        <v>Difensori</v>
      </c>
      <c r="F352" s="6" t="n">
        <v>79</v>
      </c>
      <c r="H352" s="7" t="n">
        <f aca="false">IF(OR(B352="",F352=""),"",F352-ROW()/100000)</f>
        <v>78.99648</v>
      </c>
      <c r="I352" s="0" t="str">
        <f aca="false">IF(H352="","",C352&amp;"|"&amp;(COUNTIFS($C$2:$C$1000,C352,$H$2:$H$1000,"&gt;"&amp;H352)+1))</f>
        <v>LB|20</v>
      </c>
    </row>
    <row r="353" customFormat="false" ht="15" hidden="false" customHeight="false" outlineLevel="0" collapsed="false">
      <c r="A353" s="2" t="n">
        <f aca="false">IF(F353="","",COUNTIF($F$2:$F$1000,"&gt;"&amp;F353)+1)</f>
        <v>349</v>
      </c>
      <c r="B353" s="3" t="s">
        <v>371</v>
      </c>
      <c r="C353" s="4" t="s">
        <v>61</v>
      </c>
      <c r="D353" s="5" t="str">
        <f aca="false">IF(C353="","",IFERROR(INDEX(Summary!$B$2:$B$14,MATCH(C353,Summary!$A$2:$A$14,0)),"?"))</f>
        <v>Right Back</v>
      </c>
      <c r="E353" s="5" t="str">
        <f aca="false">IF(C353="","",IFERROR(INDEX(Summary!$C$2:$C$14,MATCH(C353,Summary!$A$2:$A$14,0)),"?"))</f>
        <v>Difensori</v>
      </c>
      <c r="F353" s="6" t="n">
        <v>79</v>
      </c>
      <c r="H353" s="7" t="n">
        <f aca="false">IF(OR(B353="",F353=""),"",F353-ROW()/100000)</f>
        <v>78.99647</v>
      </c>
      <c r="I353" s="0" t="str">
        <f aca="false">IF(H353="","",C353&amp;"|"&amp;(COUNTIFS($C$2:$C$1000,C353,$H$2:$H$1000,"&gt;"&amp;H353)+1))</f>
        <v>RB|26</v>
      </c>
    </row>
    <row r="354" customFormat="false" ht="15" hidden="false" customHeight="false" outlineLevel="0" collapsed="false">
      <c r="A354" s="2" t="n">
        <f aca="false">IF(F354="","",COUNTIF($F$2:$F$1000,"&gt;"&amp;F354)+1)</f>
        <v>349</v>
      </c>
      <c r="B354" s="3" t="s">
        <v>372</v>
      </c>
      <c r="C354" s="4" t="s">
        <v>51</v>
      </c>
      <c r="D354" s="5" t="str">
        <f aca="false">IF(C354="","",IFERROR(INDEX(Summary!$B$2:$B$14,MATCH(C354,Summary!$A$2:$A$14,0)),"?"))</f>
        <v>Defensive Midfielder</v>
      </c>
      <c r="E354" s="5" t="str">
        <f aca="false">IF(C354="","",IFERROR(INDEX(Summary!$C$2:$C$14,MATCH(C354,Summary!$A$2:$A$14,0)),"?"))</f>
        <v>Centrocampo</v>
      </c>
      <c r="F354" s="6" t="n">
        <v>79</v>
      </c>
      <c r="H354" s="7" t="n">
        <f aca="false">IF(OR(B354="",F354=""),"",F354-ROW()/100000)</f>
        <v>78.99646</v>
      </c>
      <c r="I354" s="0" t="str">
        <f aca="false">IF(H354="","",C354&amp;"|"&amp;(COUNTIFS($C$2:$C$1000,C354,$H$2:$H$1000,"&gt;"&amp;H354)+1))</f>
        <v>DMF|31</v>
      </c>
    </row>
    <row r="355" customFormat="false" ht="15" hidden="false" customHeight="false" outlineLevel="0" collapsed="false">
      <c r="A355" s="2" t="n">
        <f aca="false">IF(F355="","",COUNTIF($F$2:$F$1000,"&gt;"&amp;F355)+1)</f>
        <v>349</v>
      </c>
      <c r="B355" s="3" t="s">
        <v>373</v>
      </c>
      <c r="C355" s="4" t="s">
        <v>51</v>
      </c>
      <c r="D355" s="5" t="str">
        <f aca="false">IF(C355="","",IFERROR(INDEX(Summary!$B$2:$B$14,MATCH(C355,Summary!$A$2:$A$14,0)),"?"))</f>
        <v>Defensive Midfielder</v>
      </c>
      <c r="E355" s="5" t="str">
        <f aca="false">IF(C355="","",IFERROR(INDEX(Summary!$C$2:$C$14,MATCH(C355,Summary!$A$2:$A$14,0)),"?"))</f>
        <v>Centrocampo</v>
      </c>
      <c r="F355" s="6" t="n">
        <v>79</v>
      </c>
      <c r="H355" s="7" t="n">
        <f aca="false">IF(OR(B355="",F355=""),"",F355-ROW()/100000)</f>
        <v>78.99645</v>
      </c>
      <c r="I355" s="0" t="str">
        <f aca="false">IF(H355="","",C355&amp;"|"&amp;(COUNTIFS($C$2:$C$1000,C355,$H$2:$H$1000,"&gt;"&amp;H355)+1))</f>
        <v>DMF|32</v>
      </c>
    </row>
    <row r="356" customFormat="false" ht="15" hidden="false" customHeight="false" outlineLevel="0" collapsed="false">
      <c r="A356" s="2" t="n">
        <f aca="false">IF(F356="","",COUNTIF($F$2:$F$1000,"&gt;"&amp;F356)+1)</f>
        <v>349</v>
      </c>
      <c r="B356" s="3" t="s">
        <v>374</v>
      </c>
      <c r="C356" s="4" t="s">
        <v>51</v>
      </c>
      <c r="D356" s="5" t="str">
        <f aca="false">IF(C356="","",IFERROR(INDEX(Summary!$B$2:$B$14,MATCH(C356,Summary!$A$2:$A$14,0)),"?"))</f>
        <v>Defensive Midfielder</v>
      </c>
      <c r="E356" s="5" t="str">
        <f aca="false">IF(C356="","",IFERROR(INDEX(Summary!$C$2:$C$14,MATCH(C356,Summary!$A$2:$A$14,0)),"?"))</f>
        <v>Centrocampo</v>
      </c>
      <c r="F356" s="6" t="n">
        <v>79</v>
      </c>
      <c r="H356" s="7" t="n">
        <f aca="false">IF(OR(B356="",F356=""),"",F356-ROW()/100000)</f>
        <v>78.99644</v>
      </c>
      <c r="I356" s="0" t="str">
        <f aca="false">IF(H356="","",C356&amp;"|"&amp;(COUNTIFS($C$2:$C$1000,C356,$H$2:$H$1000,"&gt;"&amp;H356)+1))</f>
        <v>DMF|33</v>
      </c>
    </row>
    <row r="357" customFormat="false" ht="15" hidden="false" customHeight="false" outlineLevel="0" collapsed="false">
      <c r="A357" s="2" t="n">
        <f aca="false">IF(F357="","",COUNTIF($F$2:$F$1000,"&gt;"&amp;F357)+1)</f>
        <v>349</v>
      </c>
      <c r="B357" s="3" t="s">
        <v>375</v>
      </c>
      <c r="C357" s="4" t="s">
        <v>11</v>
      </c>
      <c r="D357" s="5" t="str">
        <f aca="false">IF(C357="","",IFERROR(INDEX(Summary!$B$2:$B$14,MATCH(C357,Summary!$A$2:$A$14,0)),"?"))</f>
        <v>Central Midfielder</v>
      </c>
      <c r="E357" s="5" t="str">
        <f aca="false">IF(C357="","",IFERROR(INDEX(Summary!$C$2:$C$14,MATCH(C357,Summary!$A$2:$A$14,0)),"?"))</f>
        <v>Centrocampo</v>
      </c>
      <c r="F357" s="6" t="n">
        <v>79</v>
      </c>
      <c r="H357" s="7" t="n">
        <f aca="false">IF(OR(B357="",F357=""),"",F357-ROW()/100000)</f>
        <v>78.99643</v>
      </c>
      <c r="I357" s="0" t="str">
        <f aca="false">IF(H357="","",C357&amp;"|"&amp;(COUNTIFS($C$2:$C$1000,C357,$H$2:$H$1000,"&gt;"&amp;H357)+1))</f>
        <v>CMF|29</v>
      </c>
    </row>
    <row r="358" customFormat="false" ht="15" hidden="false" customHeight="false" outlineLevel="0" collapsed="false">
      <c r="A358" s="2" t="n">
        <f aca="false">IF(F358="","",COUNTIF($F$2:$F$1000,"&gt;"&amp;F358)+1)</f>
        <v>349</v>
      </c>
      <c r="B358" s="3" t="s">
        <v>376</v>
      </c>
      <c r="C358" s="4" t="s">
        <v>11</v>
      </c>
      <c r="D358" s="5" t="str">
        <f aca="false">IF(C358="","",IFERROR(INDEX(Summary!$B$2:$B$14,MATCH(C358,Summary!$A$2:$A$14,0)),"?"))</f>
        <v>Central Midfielder</v>
      </c>
      <c r="E358" s="5" t="str">
        <f aca="false">IF(C358="","",IFERROR(INDEX(Summary!$C$2:$C$14,MATCH(C358,Summary!$A$2:$A$14,0)),"?"))</f>
        <v>Centrocampo</v>
      </c>
      <c r="F358" s="6" t="n">
        <v>79</v>
      </c>
      <c r="H358" s="7" t="n">
        <f aca="false">IF(OR(B358="",F358=""),"",F358-ROW()/100000)</f>
        <v>78.99642</v>
      </c>
      <c r="I358" s="0" t="str">
        <f aca="false">IF(H358="","",C358&amp;"|"&amp;(COUNTIFS($C$2:$C$1000,C358,$H$2:$H$1000,"&gt;"&amp;H358)+1))</f>
        <v>CMF|30</v>
      </c>
    </row>
    <row r="359" customFormat="false" ht="15" hidden="false" customHeight="false" outlineLevel="0" collapsed="false">
      <c r="A359" s="2" t="n">
        <f aca="false">IF(F359="","",COUNTIF($F$2:$F$1000,"&gt;"&amp;F359)+1)</f>
        <v>349</v>
      </c>
      <c r="B359" s="3" t="s">
        <v>377</v>
      </c>
      <c r="C359" s="4" t="s">
        <v>28</v>
      </c>
      <c r="D359" s="5" t="str">
        <f aca="false">IF(C359="","",IFERROR(INDEX(Summary!$B$2:$B$14,MATCH(C359,Summary!$A$2:$A$14,0)),"?"))</f>
        <v>Right Midfielder</v>
      </c>
      <c r="E359" s="5" t="str">
        <f aca="false">IF(C359="","",IFERROR(INDEX(Summary!$C$2:$C$14,MATCH(C359,Summary!$A$2:$A$14,0)),"?"))</f>
        <v>Centrocampo</v>
      </c>
      <c r="F359" s="6" t="n">
        <v>79</v>
      </c>
      <c r="H359" s="7" t="n">
        <f aca="false">IF(OR(B359="",F359=""),"",F359-ROW()/100000)</f>
        <v>78.99641</v>
      </c>
      <c r="I359" s="0" t="str">
        <f aca="false">IF(H359="","",C359&amp;"|"&amp;(COUNTIFS($C$2:$C$1000,C359,$H$2:$H$1000,"&gt;"&amp;H359)+1))</f>
        <v>RMF|24</v>
      </c>
    </row>
    <row r="360" customFormat="false" ht="15" hidden="false" customHeight="false" outlineLevel="0" collapsed="false">
      <c r="A360" s="2" t="n">
        <f aca="false">IF(F360="","",COUNTIF($F$2:$F$1000,"&gt;"&amp;F360)+1)</f>
        <v>349</v>
      </c>
      <c r="B360" s="3" t="s">
        <v>378</v>
      </c>
      <c r="C360" s="4" t="s">
        <v>28</v>
      </c>
      <c r="D360" s="5" t="str">
        <f aca="false">IF(C360="","",IFERROR(INDEX(Summary!$B$2:$B$14,MATCH(C360,Summary!$A$2:$A$14,0)),"?"))</f>
        <v>Right Midfielder</v>
      </c>
      <c r="E360" s="5" t="str">
        <f aca="false">IF(C360="","",IFERROR(INDEX(Summary!$C$2:$C$14,MATCH(C360,Summary!$A$2:$A$14,0)),"?"))</f>
        <v>Centrocampo</v>
      </c>
      <c r="F360" s="6" t="n">
        <v>79</v>
      </c>
      <c r="H360" s="7" t="n">
        <f aca="false">IF(OR(B360="",F360=""),"",F360-ROW()/100000)</f>
        <v>78.9964</v>
      </c>
      <c r="I360" s="0" t="str">
        <f aca="false">IF(H360="","",C360&amp;"|"&amp;(COUNTIFS($C$2:$C$1000,C360,$H$2:$H$1000,"&gt;"&amp;H360)+1))</f>
        <v>RMF|25</v>
      </c>
    </row>
    <row r="361" customFormat="false" ht="15" hidden="false" customHeight="false" outlineLevel="0" collapsed="false">
      <c r="A361" s="2" t="n">
        <f aca="false">IF(F361="","",COUNTIF($F$2:$F$1000,"&gt;"&amp;F361)+1)</f>
        <v>349</v>
      </c>
      <c r="B361" s="3" t="s">
        <v>379</v>
      </c>
      <c r="C361" s="4" t="s">
        <v>31</v>
      </c>
      <c r="D361" s="5" t="str">
        <f aca="false">IF(C361="","",IFERROR(INDEX(Summary!$B$2:$B$14,MATCH(C361,Summary!$A$2:$A$14,0)),"?"))</f>
        <v>Attacking Midfielder</v>
      </c>
      <c r="E361" s="5" t="str">
        <f aca="false">IF(C361="","",IFERROR(INDEX(Summary!$C$2:$C$14,MATCH(C361,Summary!$A$2:$A$14,0)),"?"))</f>
        <v>Centrocampo</v>
      </c>
      <c r="F361" s="6" t="n">
        <v>79</v>
      </c>
      <c r="H361" s="7" t="n">
        <f aca="false">IF(OR(B361="",F361=""),"",F361-ROW()/100000)</f>
        <v>78.99639</v>
      </c>
      <c r="I361" s="0" t="str">
        <f aca="false">IF(H361="","",C361&amp;"|"&amp;(COUNTIFS($C$2:$C$1000,C361,$H$2:$H$1000,"&gt;"&amp;H361)+1))</f>
        <v>AMF|26</v>
      </c>
    </row>
    <row r="362" customFormat="false" ht="15" hidden="false" customHeight="false" outlineLevel="0" collapsed="false">
      <c r="A362" s="2" t="n">
        <f aca="false">IF(F362="","",COUNTIF($F$2:$F$1000,"&gt;"&amp;F362)+1)</f>
        <v>349</v>
      </c>
      <c r="B362" s="3" t="s">
        <v>380</v>
      </c>
      <c r="C362" s="4" t="s">
        <v>15</v>
      </c>
      <c r="D362" s="5" t="str">
        <f aca="false">IF(C362="","",IFERROR(INDEX(Summary!$B$2:$B$14,MATCH(C362,Summary!$A$2:$A$14,0)),"?"))</f>
        <v>Left Wing Forward</v>
      </c>
      <c r="E362" s="5" t="str">
        <f aca="false">IF(C362="","",IFERROR(INDEX(Summary!$C$2:$C$14,MATCH(C362,Summary!$A$2:$A$14,0)),"?"))</f>
        <v>Attacco</v>
      </c>
      <c r="F362" s="6" t="n">
        <v>79</v>
      </c>
      <c r="H362" s="7" t="n">
        <f aca="false">IF(OR(B362="",F362=""),"",F362-ROW()/100000)</f>
        <v>78.99638</v>
      </c>
      <c r="I362" s="0" t="str">
        <f aca="false">IF(H362="","",C362&amp;"|"&amp;(COUNTIFS($C$2:$C$1000,C362,$H$2:$H$1000,"&gt;"&amp;H362)+1))</f>
        <v>LWF|10</v>
      </c>
    </row>
    <row r="363" customFormat="false" ht="15" hidden="false" customHeight="false" outlineLevel="0" collapsed="false">
      <c r="A363" s="2" t="n">
        <f aca="false">IF(F363="","",COUNTIF($F$2:$F$1000,"&gt;"&amp;F363)+1)</f>
        <v>349</v>
      </c>
      <c r="B363" s="3" t="s">
        <v>381</v>
      </c>
      <c r="C363" s="4" t="s">
        <v>19</v>
      </c>
      <c r="D363" s="5" t="str">
        <f aca="false">IF(C363="","",IFERROR(INDEX(Summary!$B$2:$B$14,MATCH(C363,Summary!$A$2:$A$14,0)),"?"))</f>
        <v>Second Striker</v>
      </c>
      <c r="E363" s="5" t="str">
        <f aca="false">IF(C363="","",IFERROR(INDEX(Summary!$C$2:$C$14,MATCH(C363,Summary!$A$2:$A$14,0)),"?"))</f>
        <v>Attacco</v>
      </c>
      <c r="F363" s="6" t="n">
        <v>79</v>
      </c>
      <c r="H363" s="7" t="n">
        <f aca="false">IF(OR(B363="",F363=""),"",F363-ROW()/100000)</f>
        <v>78.99637</v>
      </c>
      <c r="I363" s="0" t="str">
        <f aca="false">IF(H363="","",C363&amp;"|"&amp;(COUNTIFS($C$2:$C$1000,C363,$H$2:$H$1000,"&gt;"&amp;H363)+1))</f>
        <v>SS|16</v>
      </c>
    </row>
    <row r="364" customFormat="false" ht="15" hidden="false" customHeight="false" outlineLevel="0" collapsed="false">
      <c r="A364" s="2" t="n">
        <f aca="false">IF(F364="","",COUNTIF($F$2:$F$1000,"&gt;"&amp;F364)+1)</f>
        <v>349</v>
      </c>
      <c r="B364" s="3" t="s">
        <v>382</v>
      </c>
      <c r="C364" s="4" t="s">
        <v>19</v>
      </c>
      <c r="D364" s="5" t="str">
        <f aca="false">IF(C364="","",IFERROR(INDEX(Summary!$B$2:$B$14,MATCH(C364,Summary!$A$2:$A$14,0)),"?"))</f>
        <v>Second Striker</v>
      </c>
      <c r="E364" s="5" t="str">
        <f aca="false">IF(C364="","",IFERROR(INDEX(Summary!$C$2:$C$14,MATCH(C364,Summary!$A$2:$A$14,0)),"?"))</f>
        <v>Attacco</v>
      </c>
      <c r="F364" s="6" t="n">
        <v>79</v>
      </c>
      <c r="H364" s="7" t="n">
        <f aca="false">IF(OR(B364="",F364=""),"",F364-ROW()/100000)</f>
        <v>78.99636</v>
      </c>
      <c r="I364" s="0" t="str">
        <f aca="false">IF(H364="","",C364&amp;"|"&amp;(COUNTIFS($C$2:$C$1000,C364,$H$2:$H$1000,"&gt;"&amp;H364)+1))</f>
        <v>SS|17</v>
      </c>
    </row>
    <row r="365" customFormat="false" ht="15" hidden="false" customHeight="false" outlineLevel="0" collapsed="false">
      <c r="A365" s="2" t="n">
        <f aca="false">IF(F365="","",COUNTIF($F$2:$F$1000,"&gt;"&amp;F365)+1)</f>
        <v>349</v>
      </c>
      <c r="B365" s="3" t="s">
        <v>383</v>
      </c>
      <c r="C365" s="4" t="s">
        <v>21</v>
      </c>
      <c r="D365" s="5" t="str">
        <f aca="false">IF(C365="","",IFERROR(INDEX(Summary!$B$2:$B$14,MATCH(C365,Summary!$A$2:$A$14,0)),"?"))</f>
        <v>Center Forward</v>
      </c>
      <c r="E365" s="5" t="str">
        <f aca="false">IF(C365="","",IFERROR(INDEX(Summary!$C$2:$C$14,MATCH(C365,Summary!$A$2:$A$14,0)),"?"))</f>
        <v>Attacco</v>
      </c>
      <c r="F365" s="6" t="n">
        <v>79</v>
      </c>
      <c r="H365" s="7" t="n">
        <f aca="false">IF(OR(B365="",F365=""),"",F365-ROW()/100000)</f>
        <v>78.99635</v>
      </c>
      <c r="I365" s="0" t="str">
        <f aca="false">IF(H365="","",C365&amp;"|"&amp;(COUNTIFS($C$2:$C$1000,C365,$H$2:$H$1000,"&gt;"&amp;H365)+1))</f>
        <v>CF|54</v>
      </c>
    </row>
    <row r="366" customFormat="false" ht="15" hidden="false" customHeight="false" outlineLevel="0" collapsed="false">
      <c r="A366" s="2" t="n">
        <f aca="false">IF(F366="","",COUNTIF($F$2:$F$1000,"&gt;"&amp;F366)+1)</f>
        <v>349</v>
      </c>
      <c r="B366" s="3" t="s">
        <v>384</v>
      </c>
      <c r="C366" s="4" t="s">
        <v>21</v>
      </c>
      <c r="D366" s="5" t="str">
        <f aca="false">IF(C366="","",IFERROR(INDEX(Summary!$B$2:$B$14,MATCH(C366,Summary!$A$2:$A$14,0)),"?"))</f>
        <v>Center Forward</v>
      </c>
      <c r="E366" s="5" t="str">
        <f aca="false">IF(C366="","",IFERROR(INDEX(Summary!$C$2:$C$14,MATCH(C366,Summary!$A$2:$A$14,0)),"?"))</f>
        <v>Attacco</v>
      </c>
      <c r="F366" s="6" t="n">
        <v>79</v>
      </c>
      <c r="H366" s="7" t="n">
        <f aca="false">IF(OR(B366="",F366=""),"",F366-ROW()/100000)</f>
        <v>78.99634</v>
      </c>
      <c r="I366" s="0" t="str">
        <f aca="false">IF(H366="","",C366&amp;"|"&amp;(COUNTIFS($C$2:$C$1000,C366,$H$2:$H$1000,"&gt;"&amp;H366)+1))</f>
        <v>CF|55</v>
      </c>
    </row>
    <row r="367" customFormat="false" ht="15" hidden="false" customHeight="false" outlineLevel="0" collapsed="false">
      <c r="A367" s="2" t="n">
        <f aca="false">IF(F367="","",COUNTIF($F$2:$F$1000,"&gt;"&amp;F367)+1)</f>
        <v>349</v>
      </c>
      <c r="B367" s="3" t="s">
        <v>385</v>
      </c>
      <c r="C367" s="4" t="s">
        <v>21</v>
      </c>
      <c r="D367" s="5" t="str">
        <f aca="false">IF(C367="","",IFERROR(INDEX(Summary!$B$2:$B$14,MATCH(C367,Summary!$A$2:$A$14,0)),"?"))</f>
        <v>Center Forward</v>
      </c>
      <c r="E367" s="5" t="str">
        <f aca="false">IF(C367="","",IFERROR(INDEX(Summary!$C$2:$C$14,MATCH(C367,Summary!$A$2:$A$14,0)),"?"))</f>
        <v>Attacco</v>
      </c>
      <c r="F367" s="6" t="n">
        <v>79</v>
      </c>
      <c r="H367" s="7" t="n">
        <f aca="false">IF(OR(B367="",F367=""),"",F367-ROW()/100000)</f>
        <v>78.99633</v>
      </c>
      <c r="I367" s="0" t="str">
        <f aca="false">IF(H367="","",C367&amp;"|"&amp;(COUNTIFS($C$2:$C$1000,C367,$H$2:$H$1000,"&gt;"&amp;H367)+1))</f>
        <v>CF|56</v>
      </c>
    </row>
    <row r="368" customFormat="false" ht="15" hidden="false" customHeight="false" outlineLevel="0" collapsed="false">
      <c r="A368" s="2" t="n">
        <f aca="false">IF(F368="","",COUNTIF($F$2:$F$1000,"&gt;"&amp;F368)+1)</f>
        <v>367</v>
      </c>
      <c r="B368" s="3" t="s">
        <v>386</v>
      </c>
      <c r="C368" s="4" t="s">
        <v>38</v>
      </c>
      <c r="D368" s="5" t="str">
        <f aca="false">IF(C368="","",IFERROR(INDEX(Summary!$B$2:$B$14,MATCH(C368,Summary!$A$2:$A$14,0)),"?"))</f>
        <v>Center Back</v>
      </c>
      <c r="E368" s="5" t="str">
        <f aca="false">IF(C368="","",IFERROR(INDEX(Summary!$C$2:$C$14,MATCH(C368,Summary!$A$2:$A$14,0)),"?"))</f>
        <v>Difensori</v>
      </c>
      <c r="F368" s="6" t="n">
        <v>78</v>
      </c>
      <c r="H368" s="7" t="n">
        <f aca="false">IF(OR(B368="",F368=""),"",F368-ROW()/100000)</f>
        <v>77.99632</v>
      </c>
      <c r="I368" s="0" t="str">
        <f aca="false">IF(H368="","",C368&amp;"|"&amp;(COUNTIFS($C$2:$C$1000,C368,$H$2:$H$1000,"&gt;"&amp;H368)+1))</f>
        <v>CB|63</v>
      </c>
    </row>
    <row r="369" customFormat="false" ht="15" hidden="false" customHeight="false" outlineLevel="0" collapsed="false">
      <c r="A369" s="2" t="n">
        <f aca="false">IF(F369="","",COUNTIF($F$2:$F$1000,"&gt;"&amp;F369)+1)</f>
        <v>367</v>
      </c>
      <c r="B369" s="3" t="s">
        <v>387</v>
      </c>
      <c r="C369" s="4" t="s">
        <v>61</v>
      </c>
      <c r="D369" s="5" t="str">
        <f aca="false">IF(C369="","",IFERROR(INDEX(Summary!$B$2:$B$14,MATCH(C369,Summary!$A$2:$A$14,0)),"?"))</f>
        <v>Right Back</v>
      </c>
      <c r="E369" s="5" t="str">
        <f aca="false">IF(C369="","",IFERROR(INDEX(Summary!$C$2:$C$14,MATCH(C369,Summary!$A$2:$A$14,0)),"?"))</f>
        <v>Difensori</v>
      </c>
      <c r="F369" s="6" t="n">
        <v>78</v>
      </c>
      <c r="H369" s="7" t="n">
        <f aca="false">IF(OR(B369="",F369=""),"",F369-ROW()/100000)</f>
        <v>77.99631</v>
      </c>
      <c r="I369" s="0" t="str">
        <f aca="false">IF(H369="","",C369&amp;"|"&amp;(COUNTIFS($C$2:$C$1000,C369,$H$2:$H$1000,"&gt;"&amp;H369)+1))</f>
        <v>RB|27</v>
      </c>
    </row>
    <row r="370" customFormat="false" ht="15" hidden="false" customHeight="false" outlineLevel="0" collapsed="false">
      <c r="A370" s="2" t="n">
        <f aca="false">IF(F370="","",COUNTIF($F$2:$F$1000,"&gt;"&amp;F370)+1)</f>
        <v>367</v>
      </c>
      <c r="B370" s="3" t="s">
        <v>388</v>
      </c>
      <c r="C370" s="4" t="s">
        <v>11</v>
      </c>
      <c r="D370" s="5" t="str">
        <f aca="false">IF(C370="","",IFERROR(INDEX(Summary!$B$2:$B$14,MATCH(C370,Summary!$A$2:$A$14,0)),"?"))</f>
        <v>Central Midfielder</v>
      </c>
      <c r="E370" s="5" t="str">
        <f aca="false">IF(C370="","",IFERROR(INDEX(Summary!$C$2:$C$14,MATCH(C370,Summary!$A$2:$A$14,0)),"?"))</f>
        <v>Centrocampo</v>
      </c>
      <c r="F370" s="6" t="n">
        <v>78</v>
      </c>
      <c r="H370" s="7" t="n">
        <f aca="false">IF(OR(B370="",F370=""),"",F370-ROW()/100000)</f>
        <v>77.9963</v>
      </c>
      <c r="I370" s="0" t="str">
        <f aca="false">IF(H370="","",C370&amp;"|"&amp;(COUNTIFS($C$2:$C$1000,C370,$H$2:$H$1000,"&gt;"&amp;H370)+1))</f>
        <v>CMF|31</v>
      </c>
    </row>
    <row r="371" customFormat="false" ht="15" hidden="false" customHeight="false" outlineLevel="0" collapsed="false">
      <c r="A371" s="2" t="n">
        <f aca="false">IF(F371="","",COUNTIF($F$2:$F$1000,"&gt;"&amp;F371)+1)</f>
        <v>367</v>
      </c>
      <c r="B371" s="3" t="s">
        <v>389</v>
      </c>
      <c r="C371" s="4" t="s">
        <v>11</v>
      </c>
      <c r="D371" s="5" t="str">
        <f aca="false">IF(C371="","",IFERROR(INDEX(Summary!$B$2:$B$14,MATCH(C371,Summary!$A$2:$A$14,0)),"?"))</f>
        <v>Central Midfielder</v>
      </c>
      <c r="E371" s="5" t="str">
        <f aca="false">IF(C371="","",IFERROR(INDEX(Summary!$C$2:$C$14,MATCH(C371,Summary!$A$2:$A$14,0)),"?"))</f>
        <v>Centrocampo</v>
      </c>
      <c r="F371" s="6" t="n">
        <v>78</v>
      </c>
      <c r="H371" s="7" t="n">
        <f aca="false">IF(OR(B371="",F371=""),"",F371-ROW()/100000)</f>
        <v>77.99629</v>
      </c>
      <c r="I371" s="0" t="str">
        <f aca="false">IF(H371="","",C371&amp;"|"&amp;(COUNTIFS($C$2:$C$1000,C371,$H$2:$H$1000,"&gt;"&amp;H371)+1))</f>
        <v>CMF|32</v>
      </c>
    </row>
    <row r="372" customFormat="false" ht="15" hidden="false" customHeight="false" outlineLevel="0" collapsed="false">
      <c r="A372" s="2" t="n">
        <f aca="false">IF(F372="","",COUNTIF($F$2:$F$1000,"&gt;"&amp;F372)+1)</f>
        <v>367</v>
      </c>
      <c r="B372" s="3" t="s">
        <v>390</v>
      </c>
      <c r="C372" s="4" t="s">
        <v>11</v>
      </c>
      <c r="D372" s="5" t="str">
        <f aca="false">IF(C372="","",IFERROR(INDEX(Summary!$B$2:$B$14,MATCH(C372,Summary!$A$2:$A$14,0)),"?"))</f>
        <v>Central Midfielder</v>
      </c>
      <c r="E372" s="5" t="str">
        <f aca="false">IF(C372="","",IFERROR(INDEX(Summary!$C$2:$C$14,MATCH(C372,Summary!$A$2:$A$14,0)),"?"))</f>
        <v>Centrocampo</v>
      </c>
      <c r="F372" s="6" t="n">
        <v>78</v>
      </c>
      <c r="H372" s="7" t="n">
        <f aca="false">IF(OR(B372="",F372=""),"",F372-ROW()/100000)</f>
        <v>77.99628</v>
      </c>
      <c r="I372" s="0" t="str">
        <f aca="false">IF(H372="","",C372&amp;"|"&amp;(COUNTIFS($C$2:$C$1000,C372,$H$2:$H$1000,"&gt;"&amp;H372)+1))</f>
        <v>CMF|33</v>
      </c>
    </row>
    <row r="373" customFormat="false" ht="15" hidden="false" customHeight="false" outlineLevel="0" collapsed="false">
      <c r="A373" s="2" t="n">
        <f aca="false">IF(F373="","",COUNTIF($F$2:$F$1000,"&gt;"&amp;F373)+1)</f>
        <v>367</v>
      </c>
      <c r="B373" s="3" t="s">
        <v>391</v>
      </c>
      <c r="C373" s="4" t="s">
        <v>11</v>
      </c>
      <c r="D373" s="5" t="str">
        <f aca="false">IF(C373="","",IFERROR(INDEX(Summary!$B$2:$B$14,MATCH(C373,Summary!$A$2:$A$14,0)),"?"))</f>
        <v>Central Midfielder</v>
      </c>
      <c r="E373" s="5" t="str">
        <f aca="false">IF(C373="","",IFERROR(INDEX(Summary!$C$2:$C$14,MATCH(C373,Summary!$A$2:$A$14,0)),"?"))</f>
        <v>Centrocampo</v>
      </c>
      <c r="F373" s="6" t="n">
        <v>78</v>
      </c>
      <c r="H373" s="7" t="n">
        <f aca="false">IF(OR(B373="",F373=""),"",F373-ROW()/100000)</f>
        <v>77.99627</v>
      </c>
      <c r="I373" s="0" t="str">
        <f aca="false">IF(H373="","",C373&amp;"|"&amp;(COUNTIFS($C$2:$C$1000,C373,$H$2:$H$1000,"&gt;"&amp;H373)+1))</f>
        <v>CMF|34</v>
      </c>
    </row>
    <row r="374" customFormat="false" ht="15" hidden="false" customHeight="false" outlineLevel="0" collapsed="false">
      <c r="A374" s="2" t="n">
        <f aca="false">IF(F374="","",COUNTIF($F$2:$F$1000,"&gt;"&amp;F374)+1)</f>
        <v>367</v>
      </c>
      <c r="B374" s="3" t="s">
        <v>392</v>
      </c>
      <c r="C374" s="4" t="s">
        <v>42</v>
      </c>
      <c r="D374" s="5" t="str">
        <f aca="false">IF(C374="","",IFERROR(INDEX(Summary!$B$2:$B$14,MATCH(C374,Summary!$A$2:$A$14,0)),"?"))</f>
        <v>Left Midfielder</v>
      </c>
      <c r="E374" s="5" t="str">
        <f aca="false">IF(C374="","",IFERROR(INDEX(Summary!$C$2:$C$14,MATCH(C374,Summary!$A$2:$A$14,0)),"?"))</f>
        <v>Centrocampo</v>
      </c>
      <c r="F374" s="6" t="n">
        <v>78</v>
      </c>
      <c r="H374" s="7" t="n">
        <f aca="false">IF(OR(B374="",F374=""),"",F374-ROW()/100000)</f>
        <v>77.99626</v>
      </c>
      <c r="I374" s="0" t="str">
        <f aca="false">IF(H374="","",C374&amp;"|"&amp;(COUNTIFS($C$2:$C$1000,C374,$H$2:$H$1000,"&gt;"&amp;H374)+1))</f>
        <v>LMF|24</v>
      </c>
    </row>
    <row r="375" customFormat="false" ht="15" hidden="false" customHeight="false" outlineLevel="0" collapsed="false">
      <c r="A375" s="2" t="n">
        <f aca="false">IF(F375="","",COUNTIF($F$2:$F$1000,"&gt;"&amp;F375)+1)</f>
        <v>367</v>
      </c>
      <c r="B375" s="3" t="s">
        <v>393</v>
      </c>
      <c r="C375" s="4" t="s">
        <v>31</v>
      </c>
      <c r="D375" s="5" t="str">
        <f aca="false">IF(C375="","",IFERROR(INDEX(Summary!$B$2:$B$14,MATCH(C375,Summary!$A$2:$A$14,0)),"?"))</f>
        <v>Attacking Midfielder</v>
      </c>
      <c r="E375" s="5" t="str">
        <f aca="false">IF(C375="","",IFERROR(INDEX(Summary!$C$2:$C$14,MATCH(C375,Summary!$A$2:$A$14,0)),"?"))</f>
        <v>Centrocampo</v>
      </c>
      <c r="F375" s="6" t="n">
        <v>78</v>
      </c>
      <c r="H375" s="7" t="n">
        <f aca="false">IF(OR(B375="",F375=""),"",F375-ROW()/100000)</f>
        <v>77.99625</v>
      </c>
      <c r="I375" s="0" t="str">
        <f aca="false">IF(H375="","",C375&amp;"|"&amp;(COUNTIFS($C$2:$C$1000,C375,$H$2:$H$1000,"&gt;"&amp;H375)+1))</f>
        <v>AMF|27</v>
      </c>
    </row>
    <row r="376" customFormat="false" ht="15" hidden="false" customHeight="false" outlineLevel="0" collapsed="false">
      <c r="A376" s="2" t="n">
        <f aca="false">IF(F376="","",COUNTIF($F$2:$F$1000,"&gt;"&amp;F376)+1)</f>
        <v>367</v>
      </c>
      <c r="B376" s="3" t="s">
        <v>394</v>
      </c>
      <c r="C376" s="4" t="s">
        <v>17</v>
      </c>
      <c r="D376" s="5" t="str">
        <f aca="false">IF(C376="","",IFERROR(INDEX(Summary!$B$2:$B$14,MATCH(C376,Summary!$A$2:$A$14,0)),"?"))</f>
        <v>Right Wing Forward</v>
      </c>
      <c r="E376" s="5" t="str">
        <f aca="false">IF(C376="","",IFERROR(INDEX(Summary!$C$2:$C$14,MATCH(C376,Summary!$A$2:$A$14,0)),"?"))</f>
        <v>Attacco</v>
      </c>
      <c r="F376" s="6" t="n">
        <v>78</v>
      </c>
      <c r="H376" s="7" t="n">
        <f aca="false">IF(OR(B376="",F376=""),"",F376-ROW()/100000)</f>
        <v>77.99624</v>
      </c>
      <c r="I376" s="0" t="str">
        <f aca="false">IF(H376="","",C376&amp;"|"&amp;(COUNTIFS($C$2:$C$1000,C376,$H$2:$H$1000,"&gt;"&amp;H376)+1))</f>
        <v>RWF|7</v>
      </c>
    </row>
    <row r="377" customFormat="false" ht="15" hidden="false" customHeight="false" outlineLevel="0" collapsed="false">
      <c r="A377" s="2" t="n">
        <f aca="false">IF(F377="","",COUNTIF($F$2:$F$1000,"&gt;"&amp;F377)+1)</f>
        <v>367</v>
      </c>
      <c r="B377" s="3" t="s">
        <v>395</v>
      </c>
      <c r="C377" s="4" t="s">
        <v>21</v>
      </c>
      <c r="D377" s="5" t="str">
        <f aca="false">IF(C377="","",IFERROR(INDEX(Summary!$B$2:$B$14,MATCH(C377,Summary!$A$2:$A$14,0)),"?"))</f>
        <v>Center Forward</v>
      </c>
      <c r="E377" s="5" t="str">
        <f aca="false">IF(C377="","",IFERROR(INDEX(Summary!$C$2:$C$14,MATCH(C377,Summary!$A$2:$A$14,0)),"?"))</f>
        <v>Attacco</v>
      </c>
      <c r="F377" s="6" t="n">
        <v>78</v>
      </c>
      <c r="H377" s="7" t="n">
        <f aca="false">IF(OR(B377="",F377=""),"",F377-ROW()/100000)</f>
        <v>77.99623</v>
      </c>
      <c r="I377" s="0" t="str">
        <f aca="false">IF(H377="","",C377&amp;"|"&amp;(COUNTIFS($C$2:$C$1000,C377,$H$2:$H$1000,"&gt;"&amp;H377)+1))</f>
        <v>CF|57</v>
      </c>
    </row>
    <row r="378" customFormat="false" ht="15" hidden="false" customHeight="false" outlineLevel="0" collapsed="false">
      <c r="A378" s="2" t="n">
        <f aca="false">IF(F378="","",COUNTIF($F$2:$F$1000,"&gt;"&amp;F378)+1)</f>
        <v>367</v>
      </c>
      <c r="B378" s="3" t="s">
        <v>396</v>
      </c>
      <c r="C378" s="4" t="s">
        <v>21</v>
      </c>
      <c r="D378" s="5" t="str">
        <f aca="false">IF(C378="","",IFERROR(INDEX(Summary!$B$2:$B$14,MATCH(C378,Summary!$A$2:$A$14,0)),"?"))</f>
        <v>Center Forward</v>
      </c>
      <c r="E378" s="5" t="str">
        <f aca="false">IF(C378="","",IFERROR(INDEX(Summary!$C$2:$C$14,MATCH(C378,Summary!$A$2:$A$14,0)),"?"))</f>
        <v>Attacco</v>
      </c>
      <c r="F378" s="6" t="n">
        <v>78</v>
      </c>
      <c r="H378" s="7" t="n">
        <f aca="false">IF(OR(B378="",F378=""),"",F378-ROW()/100000)</f>
        <v>77.99622</v>
      </c>
      <c r="I378" s="0" t="str">
        <f aca="false">IF(H378="","",C378&amp;"|"&amp;(COUNTIFS($C$2:$C$1000,C378,$H$2:$H$1000,"&gt;"&amp;H378)+1))</f>
        <v>CF|58</v>
      </c>
    </row>
    <row r="379" customFormat="false" ht="15" hidden="false" customHeight="false" outlineLevel="0" collapsed="false">
      <c r="A379" s="2" t="n">
        <f aca="false">IF(F379="","",COUNTIF($F$2:$F$1000,"&gt;"&amp;F379)+1)</f>
        <v>378</v>
      </c>
      <c r="B379" s="3" t="s">
        <v>397</v>
      </c>
      <c r="C379" s="4" t="s">
        <v>9</v>
      </c>
      <c r="D379" s="5" t="str">
        <f aca="false">IF(C379="","",IFERROR(INDEX(Summary!$B$2:$B$14,MATCH(C379,Summary!$A$2:$A$14,0)),"?"))</f>
        <v>Goalkeeper</v>
      </c>
      <c r="E379" s="5" t="str">
        <f aca="false">IF(C379="","",IFERROR(INDEX(Summary!$C$2:$C$14,MATCH(C379,Summary!$A$2:$A$14,0)),"?"))</f>
        <v>Portieri</v>
      </c>
      <c r="F379" s="6" t="n">
        <v>77</v>
      </c>
      <c r="H379" s="7" t="n">
        <f aca="false">IF(OR(B379="",F379=""),"",F379-ROW()/100000)</f>
        <v>76.99621</v>
      </c>
      <c r="I379" s="0" t="str">
        <f aca="false">IF(H379="","",C379&amp;"|"&amp;(COUNTIFS($C$2:$C$1000,C379,$H$2:$H$1000,"&gt;"&amp;H379)+1))</f>
        <v>GK|33</v>
      </c>
    </row>
    <row r="380" customFormat="false" ht="15" hidden="false" customHeight="false" outlineLevel="0" collapsed="false">
      <c r="A380" s="2" t="n">
        <f aca="false">IF(F380="","",COUNTIF($F$2:$F$1000,"&gt;"&amp;F380)+1)</f>
        <v>378</v>
      </c>
      <c r="B380" s="3" t="s">
        <v>398</v>
      </c>
      <c r="C380" s="4" t="s">
        <v>38</v>
      </c>
      <c r="D380" s="5" t="str">
        <f aca="false">IF(C380="","",IFERROR(INDEX(Summary!$B$2:$B$14,MATCH(C380,Summary!$A$2:$A$14,0)),"?"))</f>
        <v>Center Back</v>
      </c>
      <c r="E380" s="5" t="str">
        <f aca="false">IF(C380="","",IFERROR(INDEX(Summary!$C$2:$C$14,MATCH(C380,Summary!$A$2:$A$14,0)),"?"))</f>
        <v>Difensori</v>
      </c>
      <c r="F380" s="6" t="n">
        <v>77</v>
      </c>
      <c r="H380" s="7" t="n">
        <f aca="false">IF(OR(B380="",F380=""),"",F380-ROW()/100000)</f>
        <v>76.9962</v>
      </c>
      <c r="I380" s="0" t="str">
        <f aca="false">IF(H380="","",C380&amp;"|"&amp;(COUNTIFS($C$2:$C$1000,C380,$H$2:$H$1000,"&gt;"&amp;H380)+1))</f>
        <v>CB|64</v>
      </c>
    </row>
    <row r="381" customFormat="false" ht="15" hidden="false" customHeight="false" outlineLevel="0" collapsed="false">
      <c r="A381" s="2" t="n">
        <f aca="false">IF(F381="","",COUNTIF($F$2:$F$1000,"&gt;"&amp;F381)+1)</f>
        <v>378</v>
      </c>
      <c r="B381" s="3" t="s">
        <v>399</v>
      </c>
      <c r="C381" s="4" t="s">
        <v>38</v>
      </c>
      <c r="D381" s="5" t="str">
        <f aca="false">IF(C381="","",IFERROR(INDEX(Summary!$B$2:$B$14,MATCH(C381,Summary!$A$2:$A$14,0)),"?"))</f>
        <v>Center Back</v>
      </c>
      <c r="E381" s="5" t="str">
        <f aca="false">IF(C381="","",IFERROR(INDEX(Summary!$C$2:$C$14,MATCH(C381,Summary!$A$2:$A$14,0)),"?"))</f>
        <v>Difensori</v>
      </c>
      <c r="F381" s="6" t="n">
        <v>77</v>
      </c>
      <c r="H381" s="7" t="n">
        <f aca="false">IF(OR(B381="",F381=""),"",F381-ROW()/100000)</f>
        <v>76.99619</v>
      </c>
      <c r="I381" s="0" t="str">
        <f aca="false">IF(H381="","",C381&amp;"|"&amp;(COUNTIFS($C$2:$C$1000,C381,$H$2:$H$1000,"&gt;"&amp;H381)+1))</f>
        <v>CB|65</v>
      </c>
    </row>
    <row r="382" customFormat="false" ht="15" hidden="false" customHeight="false" outlineLevel="0" collapsed="false">
      <c r="A382" s="2" t="n">
        <f aca="false">IF(F382="","",COUNTIF($F$2:$F$1000,"&gt;"&amp;F382)+1)</f>
        <v>378</v>
      </c>
      <c r="B382" s="3" t="s">
        <v>400</v>
      </c>
      <c r="C382" s="4" t="s">
        <v>38</v>
      </c>
      <c r="D382" s="5" t="str">
        <f aca="false">IF(C382="","",IFERROR(INDEX(Summary!$B$2:$B$14,MATCH(C382,Summary!$A$2:$A$14,0)),"?"))</f>
        <v>Center Back</v>
      </c>
      <c r="E382" s="5" t="str">
        <f aca="false">IF(C382="","",IFERROR(INDEX(Summary!$C$2:$C$14,MATCH(C382,Summary!$A$2:$A$14,0)),"?"))</f>
        <v>Difensori</v>
      </c>
      <c r="F382" s="6" t="n">
        <v>77</v>
      </c>
      <c r="H382" s="7" t="n">
        <f aca="false">IF(OR(B382="",F382=""),"",F382-ROW()/100000)</f>
        <v>76.99618</v>
      </c>
      <c r="I382" s="0" t="str">
        <f aca="false">IF(H382="","",C382&amp;"|"&amp;(COUNTIFS($C$2:$C$1000,C382,$H$2:$H$1000,"&gt;"&amp;H382)+1))</f>
        <v>CB|66</v>
      </c>
    </row>
    <row r="383" customFormat="false" ht="15" hidden="false" customHeight="false" outlineLevel="0" collapsed="false">
      <c r="A383" s="2" t="n">
        <f aca="false">IF(F383="","",COUNTIF($F$2:$F$1000,"&gt;"&amp;F383)+1)</f>
        <v>378</v>
      </c>
      <c r="B383" s="3" t="s">
        <v>401</v>
      </c>
      <c r="C383" s="4" t="s">
        <v>38</v>
      </c>
      <c r="D383" s="5" t="str">
        <f aca="false">IF(C383="","",IFERROR(INDEX(Summary!$B$2:$B$14,MATCH(C383,Summary!$A$2:$A$14,0)),"?"))</f>
        <v>Center Back</v>
      </c>
      <c r="E383" s="5" t="str">
        <f aca="false">IF(C383="","",IFERROR(INDEX(Summary!$C$2:$C$14,MATCH(C383,Summary!$A$2:$A$14,0)),"?"))</f>
        <v>Difensori</v>
      </c>
      <c r="F383" s="6" t="n">
        <v>77</v>
      </c>
      <c r="H383" s="7" t="n">
        <f aca="false">IF(OR(B383="",F383=""),"",F383-ROW()/100000)</f>
        <v>76.99617</v>
      </c>
      <c r="I383" s="0" t="str">
        <f aca="false">IF(H383="","",C383&amp;"|"&amp;(COUNTIFS($C$2:$C$1000,C383,$H$2:$H$1000,"&gt;"&amp;H383)+1))</f>
        <v>CB|67</v>
      </c>
    </row>
    <row r="384" customFormat="false" ht="15" hidden="false" customHeight="false" outlineLevel="0" collapsed="false">
      <c r="A384" s="2" t="n">
        <f aca="false">IF(F384="","",COUNTIF($F$2:$F$1000,"&gt;"&amp;F384)+1)</f>
        <v>378</v>
      </c>
      <c r="B384" s="3" t="s">
        <v>402</v>
      </c>
      <c r="C384" s="4" t="s">
        <v>23</v>
      </c>
      <c r="D384" s="5" t="str">
        <f aca="false">IF(C384="","",IFERROR(INDEX(Summary!$B$2:$B$14,MATCH(C384,Summary!$A$2:$A$14,0)),"?"))</f>
        <v>Left Back</v>
      </c>
      <c r="E384" s="5" t="str">
        <f aca="false">IF(C384="","",IFERROR(INDEX(Summary!$C$2:$C$14,MATCH(C384,Summary!$A$2:$A$14,0)),"?"))</f>
        <v>Difensori</v>
      </c>
      <c r="F384" s="6" t="n">
        <v>77</v>
      </c>
      <c r="H384" s="7" t="n">
        <f aca="false">IF(OR(B384="",F384=""),"",F384-ROW()/100000)</f>
        <v>76.99616</v>
      </c>
      <c r="I384" s="0" t="str">
        <f aca="false">IF(H384="","",C384&amp;"|"&amp;(COUNTIFS($C$2:$C$1000,C384,$H$2:$H$1000,"&gt;"&amp;H384)+1))</f>
        <v>LB|21</v>
      </c>
    </row>
    <row r="385" customFormat="false" ht="15" hidden="false" customHeight="false" outlineLevel="0" collapsed="false">
      <c r="A385" s="2" t="n">
        <f aca="false">IF(F385="","",COUNTIF($F$2:$F$1000,"&gt;"&amp;F385)+1)</f>
        <v>378</v>
      </c>
      <c r="B385" s="3" t="s">
        <v>403</v>
      </c>
      <c r="C385" s="4" t="s">
        <v>61</v>
      </c>
      <c r="D385" s="5" t="str">
        <f aca="false">IF(C385="","",IFERROR(INDEX(Summary!$B$2:$B$14,MATCH(C385,Summary!$A$2:$A$14,0)),"?"))</f>
        <v>Right Back</v>
      </c>
      <c r="E385" s="5" t="str">
        <f aca="false">IF(C385="","",IFERROR(INDEX(Summary!$C$2:$C$14,MATCH(C385,Summary!$A$2:$A$14,0)),"?"))</f>
        <v>Difensori</v>
      </c>
      <c r="F385" s="6" t="n">
        <v>77</v>
      </c>
      <c r="H385" s="7" t="n">
        <f aca="false">IF(OR(B385="",F385=""),"",F385-ROW()/100000)</f>
        <v>76.99615</v>
      </c>
      <c r="I385" s="0" t="str">
        <f aca="false">IF(H385="","",C385&amp;"|"&amp;(COUNTIFS($C$2:$C$1000,C385,$H$2:$H$1000,"&gt;"&amp;H385)+1))</f>
        <v>RB|28</v>
      </c>
    </row>
    <row r="386" customFormat="false" ht="15" hidden="false" customHeight="false" outlineLevel="0" collapsed="false">
      <c r="A386" s="2" t="n">
        <f aca="false">IF(F386="","",COUNTIF($F$2:$F$1000,"&gt;"&amp;F386)+1)</f>
        <v>378</v>
      </c>
      <c r="B386" s="3" t="s">
        <v>404</v>
      </c>
      <c r="C386" s="4" t="s">
        <v>61</v>
      </c>
      <c r="D386" s="5" t="str">
        <f aca="false">IF(C386="","",IFERROR(INDEX(Summary!$B$2:$B$14,MATCH(C386,Summary!$A$2:$A$14,0)),"?"))</f>
        <v>Right Back</v>
      </c>
      <c r="E386" s="5" t="str">
        <f aca="false">IF(C386="","",IFERROR(INDEX(Summary!$C$2:$C$14,MATCH(C386,Summary!$A$2:$A$14,0)),"?"))</f>
        <v>Difensori</v>
      </c>
      <c r="F386" s="6" t="n">
        <v>77</v>
      </c>
      <c r="H386" s="7" t="n">
        <f aca="false">IF(OR(B386="",F386=""),"",F386-ROW()/100000)</f>
        <v>76.99614</v>
      </c>
      <c r="I386" s="0" t="str">
        <f aca="false">IF(H386="","",C386&amp;"|"&amp;(COUNTIFS($C$2:$C$1000,C386,$H$2:$H$1000,"&gt;"&amp;H386)+1))</f>
        <v>RB|29</v>
      </c>
    </row>
    <row r="387" customFormat="false" ht="15" hidden="false" customHeight="false" outlineLevel="0" collapsed="false">
      <c r="A387" s="2" t="n">
        <f aca="false">IF(F387="","",COUNTIF($F$2:$F$1000,"&gt;"&amp;F387)+1)</f>
        <v>378</v>
      </c>
      <c r="B387" s="3" t="s">
        <v>405</v>
      </c>
      <c r="C387" s="4" t="s">
        <v>61</v>
      </c>
      <c r="D387" s="5" t="str">
        <f aca="false">IF(C387="","",IFERROR(INDEX(Summary!$B$2:$B$14,MATCH(C387,Summary!$A$2:$A$14,0)),"?"))</f>
        <v>Right Back</v>
      </c>
      <c r="E387" s="5" t="str">
        <f aca="false">IF(C387="","",IFERROR(INDEX(Summary!$C$2:$C$14,MATCH(C387,Summary!$A$2:$A$14,0)),"?"))</f>
        <v>Difensori</v>
      </c>
      <c r="F387" s="6" t="n">
        <v>77</v>
      </c>
      <c r="H387" s="7" t="n">
        <f aca="false">IF(OR(B387="",F387=""),"",F387-ROW()/100000)</f>
        <v>76.99613</v>
      </c>
      <c r="I387" s="0" t="str">
        <f aca="false">IF(H387="","",C387&amp;"|"&amp;(COUNTIFS($C$2:$C$1000,C387,$H$2:$H$1000,"&gt;"&amp;H387)+1))</f>
        <v>RB|30</v>
      </c>
    </row>
    <row r="388" customFormat="false" ht="15" hidden="false" customHeight="false" outlineLevel="0" collapsed="false">
      <c r="A388" s="2" t="n">
        <f aca="false">IF(F388="","",COUNTIF($F$2:$F$1000,"&gt;"&amp;F388)+1)</f>
        <v>378</v>
      </c>
      <c r="B388" s="3" t="s">
        <v>406</v>
      </c>
      <c r="C388" s="4" t="s">
        <v>51</v>
      </c>
      <c r="D388" s="5" t="str">
        <f aca="false">IF(C388="","",IFERROR(INDEX(Summary!$B$2:$B$14,MATCH(C388,Summary!$A$2:$A$14,0)),"?"))</f>
        <v>Defensive Midfielder</v>
      </c>
      <c r="E388" s="5" t="str">
        <f aca="false">IF(C388="","",IFERROR(INDEX(Summary!$C$2:$C$14,MATCH(C388,Summary!$A$2:$A$14,0)),"?"))</f>
        <v>Centrocampo</v>
      </c>
      <c r="F388" s="6" t="n">
        <v>77</v>
      </c>
      <c r="H388" s="7" t="n">
        <f aca="false">IF(OR(B388="",F388=""),"",F388-ROW()/100000)</f>
        <v>76.99612</v>
      </c>
      <c r="I388" s="0" t="str">
        <f aca="false">IF(H388="","",C388&amp;"|"&amp;(COUNTIFS($C$2:$C$1000,C388,$H$2:$H$1000,"&gt;"&amp;H388)+1))</f>
        <v>DMF|34</v>
      </c>
    </row>
    <row r="389" customFormat="false" ht="15" hidden="false" customHeight="false" outlineLevel="0" collapsed="false">
      <c r="A389" s="2" t="n">
        <f aca="false">IF(F389="","",COUNTIF($F$2:$F$1000,"&gt;"&amp;F389)+1)</f>
        <v>378</v>
      </c>
      <c r="B389" s="3" t="s">
        <v>407</v>
      </c>
      <c r="C389" s="4" t="s">
        <v>51</v>
      </c>
      <c r="D389" s="5" t="str">
        <f aca="false">IF(C389="","",IFERROR(INDEX(Summary!$B$2:$B$14,MATCH(C389,Summary!$A$2:$A$14,0)),"?"))</f>
        <v>Defensive Midfielder</v>
      </c>
      <c r="E389" s="5" t="str">
        <f aca="false">IF(C389="","",IFERROR(INDEX(Summary!$C$2:$C$14,MATCH(C389,Summary!$A$2:$A$14,0)),"?"))</f>
        <v>Centrocampo</v>
      </c>
      <c r="F389" s="6" t="n">
        <v>77</v>
      </c>
      <c r="H389" s="7" t="n">
        <f aca="false">IF(OR(B389="",F389=""),"",F389-ROW()/100000)</f>
        <v>76.99611</v>
      </c>
      <c r="I389" s="0" t="str">
        <f aca="false">IF(H389="","",C389&amp;"|"&amp;(COUNTIFS($C$2:$C$1000,C389,$H$2:$H$1000,"&gt;"&amp;H389)+1))</f>
        <v>DMF|35</v>
      </c>
    </row>
    <row r="390" customFormat="false" ht="15" hidden="false" customHeight="false" outlineLevel="0" collapsed="false">
      <c r="A390" s="2" t="n">
        <f aca="false">IF(F390="","",COUNTIF($F$2:$F$1000,"&gt;"&amp;F390)+1)</f>
        <v>378</v>
      </c>
      <c r="B390" s="3" t="s">
        <v>408</v>
      </c>
      <c r="C390" s="4" t="s">
        <v>11</v>
      </c>
      <c r="D390" s="5" t="str">
        <f aca="false">IF(C390="","",IFERROR(INDEX(Summary!$B$2:$B$14,MATCH(C390,Summary!$A$2:$A$14,0)),"?"))</f>
        <v>Central Midfielder</v>
      </c>
      <c r="E390" s="5" t="str">
        <f aca="false">IF(C390="","",IFERROR(INDEX(Summary!$C$2:$C$14,MATCH(C390,Summary!$A$2:$A$14,0)),"?"))</f>
        <v>Centrocampo</v>
      </c>
      <c r="F390" s="6" t="n">
        <v>77</v>
      </c>
      <c r="H390" s="7" t="n">
        <f aca="false">IF(OR(B390="",F390=""),"",F390-ROW()/100000)</f>
        <v>76.9961</v>
      </c>
      <c r="I390" s="0" t="str">
        <f aca="false">IF(H390="","",C390&amp;"|"&amp;(COUNTIFS($C$2:$C$1000,C390,$H$2:$H$1000,"&gt;"&amp;H390)+1))</f>
        <v>CMF|35</v>
      </c>
    </row>
    <row r="391" customFormat="false" ht="15" hidden="false" customHeight="false" outlineLevel="0" collapsed="false">
      <c r="A391" s="2" t="n">
        <f aca="false">IF(F391="","",COUNTIF($F$2:$F$1000,"&gt;"&amp;F391)+1)</f>
        <v>378</v>
      </c>
      <c r="B391" s="3" t="s">
        <v>409</v>
      </c>
      <c r="C391" s="4" t="s">
        <v>11</v>
      </c>
      <c r="D391" s="5" t="str">
        <f aca="false">IF(C391="","",IFERROR(INDEX(Summary!$B$2:$B$14,MATCH(C391,Summary!$A$2:$A$14,0)),"?"))</f>
        <v>Central Midfielder</v>
      </c>
      <c r="E391" s="5" t="str">
        <f aca="false">IF(C391="","",IFERROR(INDEX(Summary!$C$2:$C$14,MATCH(C391,Summary!$A$2:$A$14,0)),"?"))</f>
        <v>Centrocampo</v>
      </c>
      <c r="F391" s="6" t="n">
        <v>77</v>
      </c>
      <c r="H391" s="7" t="n">
        <f aca="false">IF(OR(B391="",F391=""),"",F391-ROW()/100000)</f>
        <v>76.99609</v>
      </c>
      <c r="I391" s="0" t="str">
        <f aca="false">IF(H391="","",C391&amp;"|"&amp;(COUNTIFS($C$2:$C$1000,C391,$H$2:$H$1000,"&gt;"&amp;H391)+1))</f>
        <v>CMF|36</v>
      </c>
    </row>
    <row r="392" customFormat="false" ht="15" hidden="false" customHeight="false" outlineLevel="0" collapsed="false">
      <c r="A392" s="2" t="n">
        <f aca="false">IF(F392="","",COUNTIF($F$2:$F$1000,"&gt;"&amp;F392)+1)</f>
        <v>378</v>
      </c>
      <c r="B392" s="3" t="s">
        <v>410</v>
      </c>
      <c r="C392" s="4" t="s">
        <v>42</v>
      </c>
      <c r="D392" s="5" t="str">
        <f aca="false">IF(C392="","",IFERROR(INDEX(Summary!$B$2:$B$14,MATCH(C392,Summary!$A$2:$A$14,0)),"?"))</f>
        <v>Left Midfielder</v>
      </c>
      <c r="E392" s="5" t="str">
        <f aca="false">IF(C392="","",IFERROR(INDEX(Summary!$C$2:$C$14,MATCH(C392,Summary!$A$2:$A$14,0)),"?"))</f>
        <v>Centrocampo</v>
      </c>
      <c r="F392" s="6" t="n">
        <v>77</v>
      </c>
      <c r="H392" s="7" t="n">
        <f aca="false">IF(OR(B392="",F392=""),"",F392-ROW()/100000)</f>
        <v>76.99608</v>
      </c>
      <c r="I392" s="0" t="str">
        <f aca="false">IF(H392="","",C392&amp;"|"&amp;(COUNTIFS($C$2:$C$1000,C392,$H$2:$H$1000,"&gt;"&amp;H392)+1))</f>
        <v>LMF|25</v>
      </c>
    </row>
    <row r="393" customFormat="false" ht="15" hidden="false" customHeight="false" outlineLevel="0" collapsed="false">
      <c r="A393" s="2" t="n">
        <f aca="false">IF(F393="","",COUNTIF($F$2:$F$1000,"&gt;"&amp;F393)+1)</f>
        <v>378</v>
      </c>
      <c r="B393" s="3" t="s">
        <v>411</v>
      </c>
      <c r="C393" s="4" t="s">
        <v>42</v>
      </c>
      <c r="D393" s="5" t="str">
        <f aca="false">IF(C393="","",IFERROR(INDEX(Summary!$B$2:$B$14,MATCH(C393,Summary!$A$2:$A$14,0)),"?"))</f>
        <v>Left Midfielder</v>
      </c>
      <c r="E393" s="5" t="str">
        <f aca="false">IF(C393="","",IFERROR(INDEX(Summary!$C$2:$C$14,MATCH(C393,Summary!$A$2:$A$14,0)),"?"))</f>
        <v>Centrocampo</v>
      </c>
      <c r="F393" s="6" t="n">
        <v>77</v>
      </c>
      <c r="H393" s="7" t="n">
        <f aca="false">IF(OR(B393="",F393=""),"",F393-ROW()/100000)</f>
        <v>76.99607</v>
      </c>
      <c r="I393" s="0" t="str">
        <f aca="false">IF(H393="","",C393&amp;"|"&amp;(COUNTIFS($C$2:$C$1000,C393,$H$2:$H$1000,"&gt;"&amp;H393)+1))</f>
        <v>LMF|26</v>
      </c>
    </row>
    <row r="394" customFormat="false" ht="15" hidden="false" customHeight="false" outlineLevel="0" collapsed="false">
      <c r="A394" s="2" t="n">
        <f aca="false">IF(F394="","",COUNTIF($F$2:$F$1000,"&gt;"&amp;F394)+1)</f>
        <v>378</v>
      </c>
      <c r="B394" s="3" t="s">
        <v>412</v>
      </c>
      <c r="C394" s="4" t="s">
        <v>31</v>
      </c>
      <c r="D394" s="5" t="str">
        <f aca="false">IF(C394="","",IFERROR(INDEX(Summary!$B$2:$B$14,MATCH(C394,Summary!$A$2:$A$14,0)),"?"))</f>
        <v>Attacking Midfielder</v>
      </c>
      <c r="E394" s="5" t="str">
        <f aca="false">IF(C394="","",IFERROR(INDEX(Summary!$C$2:$C$14,MATCH(C394,Summary!$A$2:$A$14,0)),"?"))</f>
        <v>Centrocampo</v>
      </c>
      <c r="F394" s="6" t="n">
        <v>77</v>
      </c>
      <c r="H394" s="7" t="n">
        <f aca="false">IF(OR(B394="",F394=""),"",F394-ROW()/100000)</f>
        <v>76.99606</v>
      </c>
      <c r="I394" s="0" t="str">
        <f aca="false">IF(H394="","",C394&amp;"|"&amp;(COUNTIFS($C$2:$C$1000,C394,$H$2:$H$1000,"&gt;"&amp;H394)+1))</f>
        <v>AMF|28</v>
      </c>
    </row>
    <row r="395" customFormat="false" ht="15" hidden="false" customHeight="false" outlineLevel="0" collapsed="false">
      <c r="A395" s="2" t="n">
        <f aca="false">IF(F395="","",COUNTIF($F$2:$F$1000,"&gt;"&amp;F395)+1)</f>
        <v>378</v>
      </c>
      <c r="B395" s="3" t="s">
        <v>413</v>
      </c>
      <c r="C395" s="4" t="s">
        <v>15</v>
      </c>
      <c r="D395" s="5" t="str">
        <f aca="false">IF(C395="","",IFERROR(INDEX(Summary!$B$2:$B$14,MATCH(C395,Summary!$A$2:$A$14,0)),"?"))</f>
        <v>Left Wing Forward</v>
      </c>
      <c r="E395" s="5" t="str">
        <f aca="false">IF(C395="","",IFERROR(INDEX(Summary!$C$2:$C$14,MATCH(C395,Summary!$A$2:$A$14,0)),"?"))</f>
        <v>Attacco</v>
      </c>
      <c r="F395" s="6" t="n">
        <v>77</v>
      </c>
      <c r="H395" s="7" t="n">
        <f aca="false">IF(OR(B395="",F395=""),"",F395-ROW()/100000)</f>
        <v>76.99605</v>
      </c>
      <c r="I395" s="0" t="str">
        <f aca="false">IF(H395="","",C395&amp;"|"&amp;(COUNTIFS($C$2:$C$1000,C395,$H$2:$H$1000,"&gt;"&amp;H395)+1))</f>
        <v>LWF|11</v>
      </c>
    </row>
    <row r="396" customFormat="false" ht="15" hidden="false" customHeight="false" outlineLevel="0" collapsed="false">
      <c r="A396" s="2" t="n">
        <f aca="false">IF(F396="","",COUNTIF($F$2:$F$1000,"&gt;"&amp;F396)+1)</f>
        <v>378</v>
      </c>
      <c r="B396" s="3" t="s">
        <v>414</v>
      </c>
      <c r="C396" s="4" t="s">
        <v>17</v>
      </c>
      <c r="D396" s="5" t="str">
        <f aca="false">IF(C396="","",IFERROR(INDEX(Summary!$B$2:$B$14,MATCH(C396,Summary!$A$2:$A$14,0)),"?"))</f>
        <v>Right Wing Forward</v>
      </c>
      <c r="E396" s="5" t="str">
        <f aca="false">IF(C396="","",IFERROR(INDEX(Summary!$C$2:$C$14,MATCH(C396,Summary!$A$2:$A$14,0)),"?"))</f>
        <v>Attacco</v>
      </c>
      <c r="F396" s="6" t="n">
        <v>77</v>
      </c>
      <c r="H396" s="7" t="n">
        <f aca="false">IF(OR(B396="",F396=""),"",F396-ROW()/100000)</f>
        <v>76.99604</v>
      </c>
      <c r="I396" s="0" t="str">
        <f aca="false">IF(H396="","",C396&amp;"|"&amp;(COUNTIFS($C$2:$C$1000,C396,$H$2:$H$1000,"&gt;"&amp;H396)+1))</f>
        <v>RWF|8</v>
      </c>
    </row>
    <row r="397" customFormat="false" ht="15" hidden="false" customHeight="false" outlineLevel="0" collapsed="false">
      <c r="A397" s="2" t="n">
        <f aca="false">IF(F397="","",COUNTIF($F$2:$F$1000,"&gt;"&amp;F397)+1)</f>
        <v>378</v>
      </c>
      <c r="B397" s="3" t="s">
        <v>415</v>
      </c>
      <c r="C397" s="4" t="s">
        <v>21</v>
      </c>
      <c r="D397" s="5" t="str">
        <f aca="false">IF(C397="","",IFERROR(INDEX(Summary!$B$2:$B$14,MATCH(C397,Summary!$A$2:$A$14,0)),"?"))</f>
        <v>Center Forward</v>
      </c>
      <c r="E397" s="5" t="str">
        <f aca="false">IF(C397="","",IFERROR(INDEX(Summary!$C$2:$C$14,MATCH(C397,Summary!$A$2:$A$14,0)),"?"))</f>
        <v>Attacco</v>
      </c>
      <c r="F397" s="6" t="n">
        <v>77</v>
      </c>
      <c r="H397" s="7" t="n">
        <f aca="false">IF(OR(B397="",F397=""),"",F397-ROW()/100000)</f>
        <v>76.99603</v>
      </c>
      <c r="I397" s="0" t="str">
        <f aca="false">IF(H397="","",C397&amp;"|"&amp;(COUNTIFS($C$2:$C$1000,C397,$H$2:$H$1000,"&gt;"&amp;H397)+1))</f>
        <v>CF|59</v>
      </c>
    </row>
    <row r="398" customFormat="false" ht="15" hidden="false" customHeight="false" outlineLevel="0" collapsed="false">
      <c r="A398" s="2" t="n">
        <f aca="false">IF(F398="","",COUNTIF($F$2:$F$1000,"&gt;"&amp;F398)+1)</f>
        <v>378</v>
      </c>
      <c r="B398" s="3" t="s">
        <v>416</v>
      </c>
      <c r="C398" s="4" t="s">
        <v>21</v>
      </c>
      <c r="D398" s="5" t="str">
        <f aca="false">IF(C398="","",IFERROR(INDEX(Summary!$B$2:$B$14,MATCH(C398,Summary!$A$2:$A$14,0)),"?"))</f>
        <v>Center Forward</v>
      </c>
      <c r="E398" s="5" t="str">
        <f aca="false">IF(C398="","",IFERROR(INDEX(Summary!$C$2:$C$14,MATCH(C398,Summary!$A$2:$A$14,0)),"?"))</f>
        <v>Attacco</v>
      </c>
      <c r="F398" s="6" t="n">
        <v>77</v>
      </c>
      <c r="H398" s="7" t="n">
        <f aca="false">IF(OR(B398="",F398=""),"",F398-ROW()/100000)</f>
        <v>76.99602</v>
      </c>
      <c r="I398" s="0" t="str">
        <f aca="false">IF(H398="","",C398&amp;"|"&amp;(COUNTIFS($C$2:$C$1000,C398,$H$2:$H$1000,"&gt;"&amp;H398)+1))</f>
        <v>CF|60</v>
      </c>
    </row>
    <row r="399" customFormat="false" ht="15" hidden="false" customHeight="false" outlineLevel="0" collapsed="false">
      <c r="A399" s="2" t="n">
        <f aca="false">IF(F399="","",COUNTIF($F$2:$F$1000,"&gt;"&amp;F399)+1)</f>
        <v>398</v>
      </c>
      <c r="B399" s="3" t="s">
        <v>417</v>
      </c>
      <c r="C399" s="4" t="s">
        <v>9</v>
      </c>
      <c r="D399" s="5" t="str">
        <f aca="false">IF(C399="","",IFERROR(INDEX(Summary!$B$2:$B$14,MATCH(C399,Summary!$A$2:$A$14,0)),"?"))</f>
        <v>Goalkeeper</v>
      </c>
      <c r="E399" s="5" t="str">
        <f aca="false">IF(C399="","",IFERROR(INDEX(Summary!$C$2:$C$14,MATCH(C399,Summary!$A$2:$A$14,0)),"?"))</f>
        <v>Portieri</v>
      </c>
      <c r="F399" s="6" t="n">
        <v>76</v>
      </c>
      <c r="H399" s="7" t="n">
        <f aca="false">IF(OR(B399="",F399=""),"",F399-ROW()/100000)</f>
        <v>75.99601</v>
      </c>
      <c r="I399" s="0" t="str">
        <f aca="false">IF(H399="","",C399&amp;"|"&amp;(COUNTIFS($C$2:$C$1000,C399,$H$2:$H$1000,"&gt;"&amp;H399)+1))</f>
        <v>GK|34</v>
      </c>
    </row>
    <row r="400" customFormat="false" ht="15" hidden="false" customHeight="false" outlineLevel="0" collapsed="false">
      <c r="A400" s="2" t="n">
        <f aca="false">IF(F400="","",COUNTIF($F$2:$F$1000,"&gt;"&amp;F400)+1)</f>
        <v>398</v>
      </c>
      <c r="B400" s="3" t="s">
        <v>418</v>
      </c>
      <c r="C400" s="4" t="s">
        <v>38</v>
      </c>
      <c r="D400" s="5" t="str">
        <f aca="false">IF(C400="","",IFERROR(INDEX(Summary!$B$2:$B$14,MATCH(C400,Summary!$A$2:$A$14,0)),"?"))</f>
        <v>Center Back</v>
      </c>
      <c r="E400" s="5" t="str">
        <f aca="false">IF(C400="","",IFERROR(INDEX(Summary!$C$2:$C$14,MATCH(C400,Summary!$A$2:$A$14,0)),"?"))</f>
        <v>Difensori</v>
      </c>
      <c r="F400" s="6" t="n">
        <v>76</v>
      </c>
      <c r="H400" s="7" t="n">
        <f aca="false">IF(OR(B400="",F400=""),"",F400-ROW()/100000)</f>
        <v>75.996</v>
      </c>
      <c r="I400" s="0" t="str">
        <f aca="false">IF(H400="","",C400&amp;"|"&amp;(COUNTIFS($C$2:$C$1000,C400,$H$2:$H$1000,"&gt;"&amp;H400)+1))</f>
        <v>CB|68</v>
      </c>
    </row>
    <row r="401" customFormat="false" ht="15" hidden="false" customHeight="false" outlineLevel="0" collapsed="false">
      <c r="A401" s="2" t="n">
        <f aca="false">IF(F401="","",COUNTIF($F$2:$F$1000,"&gt;"&amp;F401)+1)</f>
        <v>398</v>
      </c>
      <c r="B401" s="3" t="s">
        <v>419</v>
      </c>
      <c r="C401" s="4" t="s">
        <v>38</v>
      </c>
      <c r="D401" s="5" t="str">
        <f aca="false">IF(C401="","",IFERROR(INDEX(Summary!$B$2:$B$14,MATCH(C401,Summary!$A$2:$A$14,0)),"?"))</f>
        <v>Center Back</v>
      </c>
      <c r="E401" s="5" t="str">
        <f aca="false">IF(C401="","",IFERROR(INDEX(Summary!$C$2:$C$14,MATCH(C401,Summary!$A$2:$A$14,0)),"?"))</f>
        <v>Difensori</v>
      </c>
      <c r="F401" s="6" t="n">
        <v>76</v>
      </c>
      <c r="H401" s="7" t="n">
        <f aca="false">IF(OR(B401="",F401=""),"",F401-ROW()/100000)</f>
        <v>75.99599</v>
      </c>
      <c r="I401" s="0" t="str">
        <f aca="false">IF(H401="","",C401&amp;"|"&amp;(COUNTIFS($C$2:$C$1000,C401,$H$2:$H$1000,"&gt;"&amp;H401)+1))</f>
        <v>CB|69</v>
      </c>
    </row>
    <row r="402" customFormat="false" ht="15" hidden="false" customHeight="false" outlineLevel="0" collapsed="false">
      <c r="A402" s="2" t="n">
        <f aca="false">IF(F402="","",COUNTIF($F$2:$F$1000,"&gt;"&amp;F402)+1)</f>
        <v>398</v>
      </c>
      <c r="B402" s="3" t="s">
        <v>420</v>
      </c>
      <c r="C402" s="4" t="s">
        <v>38</v>
      </c>
      <c r="D402" s="5" t="str">
        <f aca="false">IF(C402="","",IFERROR(INDEX(Summary!$B$2:$B$14,MATCH(C402,Summary!$A$2:$A$14,0)),"?"))</f>
        <v>Center Back</v>
      </c>
      <c r="E402" s="5" t="str">
        <f aca="false">IF(C402="","",IFERROR(INDEX(Summary!$C$2:$C$14,MATCH(C402,Summary!$A$2:$A$14,0)),"?"))</f>
        <v>Difensori</v>
      </c>
      <c r="F402" s="6" t="n">
        <v>76</v>
      </c>
      <c r="H402" s="7" t="n">
        <f aca="false">IF(OR(B402="",F402=""),"",F402-ROW()/100000)</f>
        <v>75.99598</v>
      </c>
      <c r="I402" s="0" t="str">
        <f aca="false">IF(H402="","",C402&amp;"|"&amp;(COUNTIFS($C$2:$C$1000,C402,$H$2:$H$1000,"&gt;"&amp;H402)+1))</f>
        <v>CB|70</v>
      </c>
    </row>
    <row r="403" customFormat="false" ht="15" hidden="false" customHeight="false" outlineLevel="0" collapsed="false">
      <c r="A403" s="2" t="n">
        <f aca="false">IF(F403="","",COUNTIF($F$2:$F$1000,"&gt;"&amp;F403)+1)</f>
        <v>398</v>
      </c>
      <c r="B403" s="3" t="s">
        <v>421</v>
      </c>
      <c r="C403" s="4" t="s">
        <v>38</v>
      </c>
      <c r="D403" s="5" t="str">
        <f aca="false">IF(C403="","",IFERROR(INDEX(Summary!$B$2:$B$14,MATCH(C403,Summary!$A$2:$A$14,0)),"?"))</f>
        <v>Center Back</v>
      </c>
      <c r="E403" s="5" t="str">
        <f aca="false">IF(C403="","",IFERROR(INDEX(Summary!$C$2:$C$14,MATCH(C403,Summary!$A$2:$A$14,0)),"?"))</f>
        <v>Difensori</v>
      </c>
      <c r="F403" s="6" t="n">
        <v>76</v>
      </c>
      <c r="H403" s="7" t="n">
        <f aca="false">IF(OR(B403="",F403=""),"",F403-ROW()/100000)</f>
        <v>75.99597</v>
      </c>
      <c r="I403" s="0" t="str">
        <f aca="false">IF(H403="","",C403&amp;"|"&amp;(COUNTIFS($C$2:$C$1000,C403,$H$2:$H$1000,"&gt;"&amp;H403)+1))</f>
        <v>CB|71</v>
      </c>
    </row>
    <row r="404" customFormat="false" ht="15" hidden="false" customHeight="false" outlineLevel="0" collapsed="false">
      <c r="A404" s="2" t="n">
        <f aca="false">IF(F404="","",COUNTIF($F$2:$F$1000,"&gt;"&amp;F404)+1)</f>
        <v>398</v>
      </c>
      <c r="B404" s="3" t="s">
        <v>422</v>
      </c>
      <c r="C404" s="4" t="s">
        <v>38</v>
      </c>
      <c r="D404" s="5" t="str">
        <f aca="false">IF(C404="","",IFERROR(INDEX(Summary!$B$2:$B$14,MATCH(C404,Summary!$A$2:$A$14,0)),"?"))</f>
        <v>Center Back</v>
      </c>
      <c r="E404" s="5" t="str">
        <f aca="false">IF(C404="","",IFERROR(INDEX(Summary!$C$2:$C$14,MATCH(C404,Summary!$A$2:$A$14,0)),"?"))</f>
        <v>Difensori</v>
      </c>
      <c r="F404" s="6" t="n">
        <v>76</v>
      </c>
      <c r="H404" s="7" t="n">
        <f aca="false">IF(OR(B404="",F404=""),"",F404-ROW()/100000)</f>
        <v>75.99596</v>
      </c>
      <c r="I404" s="0" t="str">
        <f aca="false">IF(H404="","",C404&amp;"|"&amp;(COUNTIFS($C$2:$C$1000,C404,$H$2:$H$1000,"&gt;"&amp;H404)+1))</f>
        <v>CB|72</v>
      </c>
    </row>
    <row r="405" customFormat="false" ht="15" hidden="false" customHeight="false" outlineLevel="0" collapsed="false">
      <c r="A405" s="2" t="n">
        <f aca="false">IF(F405="","",COUNTIF($F$2:$F$1000,"&gt;"&amp;F405)+1)</f>
        <v>398</v>
      </c>
      <c r="B405" s="3" t="s">
        <v>423</v>
      </c>
      <c r="C405" s="4" t="s">
        <v>38</v>
      </c>
      <c r="D405" s="5" t="str">
        <f aca="false">IF(C405="","",IFERROR(INDEX(Summary!$B$2:$B$14,MATCH(C405,Summary!$A$2:$A$14,0)),"?"))</f>
        <v>Center Back</v>
      </c>
      <c r="E405" s="5" t="str">
        <f aca="false">IF(C405="","",IFERROR(INDEX(Summary!$C$2:$C$14,MATCH(C405,Summary!$A$2:$A$14,0)),"?"))</f>
        <v>Difensori</v>
      </c>
      <c r="F405" s="6" t="n">
        <v>76</v>
      </c>
      <c r="H405" s="7" t="n">
        <f aca="false">IF(OR(B405="",F405=""),"",F405-ROW()/100000)</f>
        <v>75.99595</v>
      </c>
      <c r="I405" s="0" t="str">
        <f aca="false">IF(H405="","",C405&amp;"|"&amp;(COUNTIFS($C$2:$C$1000,C405,$H$2:$H$1000,"&gt;"&amp;H405)+1))</f>
        <v>CB|73</v>
      </c>
    </row>
    <row r="406" customFormat="false" ht="15" hidden="false" customHeight="false" outlineLevel="0" collapsed="false">
      <c r="A406" s="2" t="n">
        <f aca="false">IF(F406="","",COUNTIF($F$2:$F$1000,"&gt;"&amp;F406)+1)</f>
        <v>398</v>
      </c>
      <c r="B406" s="3" t="s">
        <v>424</v>
      </c>
      <c r="C406" s="4" t="s">
        <v>23</v>
      </c>
      <c r="D406" s="5" t="str">
        <f aca="false">IF(C406="","",IFERROR(INDEX(Summary!$B$2:$B$14,MATCH(C406,Summary!$A$2:$A$14,0)),"?"))</f>
        <v>Left Back</v>
      </c>
      <c r="E406" s="5" t="str">
        <f aca="false">IF(C406="","",IFERROR(INDEX(Summary!$C$2:$C$14,MATCH(C406,Summary!$A$2:$A$14,0)),"?"))</f>
        <v>Difensori</v>
      </c>
      <c r="F406" s="6" t="n">
        <v>76</v>
      </c>
      <c r="H406" s="7" t="n">
        <f aca="false">IF(OR(B406="",F406=""),"",F406-ROW()/100000)</f>
        <v>75.99594</v>
      </c>
      <c r="I406" s="0" t="str">
        <f aca="false">IF(H406="","",C406&amp;"|"&amp;(COUNTIFS($C$2:$C$1000,C406,$H$2:$H$1000,"&gt;"&amp;H406)+1))</f>
        <v>LB|22</v>
      </c>
    </row>
    <row r="407" customFormat="false" ht="15" hidden="false" customHeight="false" outlineLevel="0" collapsed="false">
      <c r="A407" s="2" t="n">
        <f aca="false">IF(F407="","",COUNTIF($F$2:$F$1000,"&gt;"&amp;F407)+1)</f>
        <v>398</v>
      </c>
      <c r="B407" s="3" t="s">
        <v>425</v>
      </c>
      <c r="C407" s="4" t="s">
        <v>51</v>
      </c>
      <c r="D407" s="5" t="str">
        <f aca="false">IF(C407="","",IFERROR(INDEX(Summary!$B$2:$B$14,MATCH(C407,Summary!$A$2:$A$14,0)),"?"))</f>
        <v>Defensive Midfielder</v>
      </c>
      <c r="E407" s="5" t="str">
        <f aca="false">IF(C407="","",IFERROR(INDEX(Summary!$C$2:$C$14,MATCH(C407,Summary!$A$2:$A$14,0)),"?"))</f>
        <v>Centrocampo</v>
      </c>
      <c r="F407" s="6" t="n">
        <v>76</v>
      </c>
      <c r="H407" s="7" t="n">
        <f aca="false">IF(OR(B407="",F407=""),"",F407-ROW()/100000)</f>
        <v>75.99593</v>
      </c>
      <c r="I407" s="0" t="str">
        <f aca="false">IF(H407="","",C407&amp;"|"&amp;(COUNTIFS($C$2:$C$1000,C407,$H$2:$H$1000,"&gt;"&amp;H407)+1))</f>
        <v>DMF|36</v>
      </c>
    </row>
    <row r="408" customFormat="false" ht="15" hidden="false" customHeight="false" outlineLevel="0" collapsed="false">
      <c r="A408" s="2" t="n">
        <f aca="false">IF(F408="","",COUNTIF($F$2:$F$1000,"&gt;"&amp;F408)+1)</f>
        <v>398</v>
      </c>
      <c r="B408" s="3" t="s">
        <v>426</v>
      </c>
      <c r="C408" s="4" t="s">
        <v>11</v>
      </c>
      <c r="D408" s="5" t="str">
        <f aca="false">IF(C408="","",IFERROR(INDEX(Summary!$B$2:$B$14,MATCH(C408,Summary!$A$2:$A$14,0)),"?"))</f>
        <v>Central Midfielder</v>
      </c>
      <c r="E408" s="5" t="str">
        <f aca="false">IF(C408="","",IFERROR(INDEX(Summary!$C$2:$C$14,MATCH(C408,Summary!$A$2:$A$14,0)),"?"))</f>
        <v>Centrocampo</v>
      </c>
      <c r="F408" s="6" t="n">
        <v>76</v>
      </c>
      <c r="H408" s="7" t="n">
        <f aca="false">IF(OR(B408="",F408=""),"",F408-ROW()/100000)</f>
        <v>75.99592</v>
      </c>
      <c r="I408" s="0" t="str">
        <f aca="false">IF(H408="","",C408&amp;"|"&amp;(COUNTIFS($C$2:$C$1000,C408,$H$2:$H$1000,"&gt;"&amp;H408)+1))</f>
        <v>CMF|37</v>
      </c>
    </row>
    <row r="409" customFormat="false" ht="15" hidden="false" customHeight="false" outlineLevel="0" collapsed="false">
      <c r="A409" s="2" t="n">
        <f aca="false">IF(F409="","",COUNTIF($F$2:$F$1000,"&gt;"&amp;F409)+1)</f>
        <v>398</v>
      </c>
      <c r="B409" s="3" t="s">
        <v>427</v>
      </c>
      <c r="C409" s="4" t="s">
        <v>42</v>
      </c>
      <c r="D409" s="5" t="str">
        <f aca="false">IF(C409="","",IFERROR(INDEX(Summary!$B$2:$B$14,MATCH(C409,Summary!$A$2:$A$14,0)),"?"))</f>
        <v>Left Midfielder</v>
      </c>
      <c r="E409" s="5" t="str">
        <f aca="false">IF(C409="","",IFERROR(INDEX(Summary!$C$2:$C$14,MATCH(C409,Summary!$A$2:$A$14,0)),"?"))</f>
        <v>Centrocampo</v>
      </c>
      <c r="F409" s="6" t="n">
        <v>76</v>
      </c>
      <c r="H409" s="7" t="n">
        <f aca="false">IF(OR(B409="",F409=""),"",F409-ROW()/100000)</f>
        <v>75.99591</v>
      </c>
      <c r="I409" s="0" t="str">
        <f aca="false">IF(H409="","",C409&amp;"|"&amp;(COUNTIFS($C$2:$C$1000,C409,$H$2:$H$1000,"&gt;"&amp;H409)+1))</f>
        <v>LMF|27</v>
      </c>
    </row>
    <row r="410" customFormat="false" ht="15" hidden="false" customHeight="false" outlineLevel="0" collapsed="false">
      <c r="A410" s="2" t="n">
        <f aca="false">IF(F410="","",COUNTIF($F$2:$F$1000,"&gt;"&amp;F410)+1)</f>
        <v>398</v>
      </c>
      <c r="B410" s="3" t="s">
        <v>428</v>
      </c>
      <c r="C410" s="4" t="s">
        <v>42</v>
      </c>
      <c r="D410" s="5" t="str">
        <f aca="false">IF(C410="","",IFERROR(INDEX(Summary!$B$2:$B$14,MATCH(C410,Summary!$A$2:$A$14,0)),"?"))</f>
        <v>Left Midfielder</v>
      </c>
      <c r="E410" s="5" t="str">
        <f aca="false">IF(C410="","",IFERROR(INDEX(Summary!$C$2:$C$14,MATCH(C410,Summary!$A$2:$A$14,0)),"?"))</f>
        <v>Centrocampo</v>
      </c>
      <c r="F410" s="6" t="n">
        <v>76</v>
      </c>
      <c r="H410" s="7" t="n">
        <f aca="false">IF(OR(B410="",F410=""),"",F410-ROW()/100000)</f>
        <v>75.9959</v>
      </c>
      <c r="I410" s="0" t="str">
        <f aca="false">IF(H410="","",C410&amp;"|"&amp;(COUNTIFS($C$2:$C$1000,C410,$H$2:$H$1000,"&gt;"&amp;H410)+1))</f>
        <v>LMF|28</v>
      </c>
    </row>
    <row r="411" customFormat="false" ht="15" hidden="false" customHeight="false" outlineLevel="0" collapsed="false">
      <c r="A411" s="2" t="n">
        <f aca="false">IF(F411="","",COUNTIF($F$2:$F$1000,"&gt;"&amp;F411)+1)</f>
        <v>410</v>
      </c>
      <c r="B411" s="3" t="s">
        <v>429</v>
      </c>
      <c r="C411" s="4" t="s">
        <v>61</v>
      </c>
      <c r="D411" s="5" t="str">
        <f aca="false">IF(C411="","",IFERROR(INDEX(Summary!$B$2:$B$14,MATCH(C411,Summary!$A$2:$A$14,0)),"?"))</f>
        <v>Right Back</v>
      </c>
      <c r="E411" s="5" t="str">
        <f aca="false">IF(C411="","",IFERROR(INDEX(Summary!$C$2:$C$14,MATCH(C411,Summary!$A$2:$A$14,0)),"?"))</f>
        <v>Difensori</v>
      </c>
      <c r="F411" s="6" t="n">
        <v>75</v>
      </c>
      <c r="H411" s="7" t="n">
        <f aca="false">IF(OR(B411="",F411=""),"",F411-ROW()/100000)</f>
        <v>74.99589</v>
      </c>
      <c r="I411" s="0" t="str">
        <f aca="false">IF(H411="","",C411&amp;"|"&amp;(COUNTIFS($C$2:$C$1000,C411,$H$2:$H$1000,"&gt;"&amp;H411)+1))</f>
        <v>RB|31</v>
      </c>
    </row>
    <row r="412" customFormat="false" ht="15" hidden="false" customHeight="false" outlineLevel="0" collapsed="false">
      <c r="A412" s="2" t="n">
        <f aca="false">IF(F412="","",COUNTIF($F$2:$F$1000,"&gt;"&amp;F412)+1)</f>
        <v>410</v>
      </c>
      <c r="B412" s="3" t="s">
        <v>430</v>
      </c>
      <c r="C412" s="4" t="s">
        <v>51</v>
      </c>
      <c r="D412" s="5" t="str">
        <f aca="false">IF(C412="","",IFERROR(INDEX(Summary!$B$2:$B$14,MATCH(C412,Summary!$A$2:$A$14,0)),"?"))</f>
        <v>Defensive Midfielder</v>
      </c>
      <c r="E412" s="5" t="str">
        <f aca="false">IF(C412="","",IFERROR(INDEX(Summary!$C$2:$C$14,MATCH(C412,Summary!$A$2:$A$14,0)),"?"))</f>
        <v>Centrocampo</v>
      </c>
      <c r="F412" s="6" t="n">
        <v>75</v>
      </c>
      <c r="H412" s="7" t="n">
        <f aca="false">IF(OR(B412="",F412=""),"",F412-ROW()/100000)</f>
        <v>74.99588</v>
      </c>
      <c r="I412" s="0" t="str">
        <f aca="false">IF(H412="","",C412&amp;"|"&amp;(COUNTIFS($C$2:$C$1000,C412,$H$2:$H$1000,"&gt;"&amp;H412)+1))</f>
        <v>DMF|37</v>
      </c>
    </row>
    <row r="413" customFormat="false" ht="15" hidden="false" customHeight="false" outlineLevel="0" collapsed="false">
      <c r="A413" s="2" t="n">
        <f aca="false">IF(F413="","",COUNTIF($F$2:$F$1000,"&gt;"&amp;F413)+1)</f>
        <v>412</v>
      </c>
      <c r="B413" s="3" t="s">
        <v>431</v>
      </c>
      <c r="C413" s="4" t="s">
        <v>9</v>
      </c>
      <c r="D413" s="5" t="str">
        <f aca="false">IF(C413="","",IFERROR(INDEX(Summary!$B$2:$B$14,MATCH(C413,Summary!$A$2:$A$14,0)),"?"))</f>
        <v>Goalkeeper</v>
      </c>
      <c r="E413" s="5" t="str">
        <f aca="false">IF(C413="","",IFERROR(INDEX(Summary!$C$2:$C$14,MATCH(C413,Summary!$A$2:$A$14,0)),"?"))</f>
        <v>Portieri</v>
      </c>
      <c r="F413" s="6" t="n">
        <v>74</v>
      </c>
      <c r="H413" s="7" t="n">
        <f aca="false">IF(OR(B413="",F413=""),"",F413-ROW()/100000)</f>
        <v>73.99587</v>
      </c>
      <c r="I413" s="0" t="str">
        <f aca="false">IF(H413="","",C413&amp;"|"&amp;(COUNTIFS($C$2:$C$1000,C413,$H$2:$H$1000,"&gt;"&amp;H413)+1))</f>
        <v>GK|35</v>
      </c>
    </row>
    <row r="414" customFormat="false" ht="15" hidden="false" customHeight="false" outlineLevel="0" collapsed="false">
      <c r="A414" s="2" t="n">
        <f aca="false">IF(F414="","",COUNTIF($F$2:$F$1000,"&gt;"&amp;F414)+1)</f>
        <v>412</v>
      </c>
      <c r="B414" s="3" t="s">
        <v>432</v>
      </c>
      <c r="C414" s="4" t="s">
        <v>19</v>
      </c>
      <c r="D414" s="5" t="str">
        <f aca="false">IF(C414="","",IFERROR(INDEX(Summary!$B$2:$B$14,MATCH(C414,Summary!$A$2:$A$14,0)),"?"))</f>
        <v>Second Striker</v>
      </c>
      <c r="E414" s="5" t="str">
        <f aca="false">IF(C414="","",IFERROR(INDEX(Summary!$C$2:$C$14,MATCH(C414,Summary!$A$2:$A$14,0)),"?"))</f>
        <v>Attacco</v>
      </c>
      <c r="F414" s="6" t="n">
        <v>74</v>
      </c>
      <c r="H414" s="7" t="n">
        <f aca="false">IF(OR(B414="",F414=""),"",F414-ROW()/100000)</f>
        <v>73.99586</v>
      </c>
      <c r="I414" s="0" t="str">
        <f aca="false">IF(H414="","",C414&amp;"|"&amp;(COUNTIFS($C$2:$C$1000,C414,$H$2:$H$1000,"&gt;"&amp;H414)+1))</f>
        <v>SS|18</v>
      </c>
    </row>
    <row r="415" customFormat="false" ht="15" hidden="false" customHeight="false" outlineLevel="0" collapsed="false">
      <c r="A415" s="2" t="n">
        <f aca="false">IF(F415="","",COUNTIF($F$2:$F$1000,"&gt;"&amp;F415)+1)</f>
        <v>412</v>
      </c>
      <c r="B415" s="3" t="s">
        <v>433</v>
      </c>
      <c r="C415" s="4" t="s">
        <v>21</v>
      </c>
      <c r="D415" s="5" t="str">
        <f aca="false">IF(C415="","",IFERROR(INDEX(Summary!$B$2:$B$14,MATCH(C415,Summary!$A$2:$A$14,0)),"?"))</f>
        <v>Center Forward</v>
      </c>
      <c r="E415" s="5" t="str">
        <f aca="false">IF(C415="","",IFERROR(INDEX(Summary!$C$2:$C$14,MATCH(C415,Summary!$A$2:$A$14,0)),"?"))</f>
        <v>Attacco</v>
      </c>
      <c r="F415" s="6" t="n">
        <v>74</v>
      </c>
      <c r="H415" s="7" t="n">
        <f aca="false">IF(OR(B415="",F415=""),"",F415-ROW()/100000)</f>
        <v>73.99585</v>
      </c>
      <c r="I415" s="0" t="str">
        <f aca="false">IF(H415="","",C415&amp;"|"&amp;(COUNTIFS($C$2:$C$1000,C415,$H$2:$H$1000,"&gt;"&amp;H415)+1))</f>
        <v>CF|61</v>
      </c>
    </row>
    <row r="416" customFormat="false" ht="15" hidden="false" customHeight="false" outlineLevel="0" collapsed="false">
      <c r="A416" s="2" t="n">
        <f aca="false">IF(F416="","",COUNTIF($F$2:$F$1000,"&gt;"&amp;F416)+1)</f>
        <v>415</v>
      </c>
      <c r="B416" s="3" t="s">
        <v>434</v>
      </c>
      <c r="C416" s="4" t="s">
        <v>61</v>
      </c>
      <c r="D416" s="5" t="str">
        <f aca="false">IF(C416="","",IFERROR(INDEX(Summary!$B$2:$B$14,MATCH(C416,Summary!$A$2:$A$14,0)),"?"))</f>
        <v>Right Back</v>
      </c>
      <c r="E416" s="5" t="str">
        <f aca="false">IF(C416="","",IFERROR(INDEX(Summary!$C$2:$C$14,MATCH(C416,Summary!$A$2:$A$14,0)),"?"))</f>
        <v>Difensori</v>
      </c>
      <c r="F416" s="6" t="n">
        <v>73</v>
      </c>
      <c r="H416" s="7" t="n">
        <f aca="false">IF(OR(B416="",F416=""),"",F416-ROW()/100000)</f>
        <v>72.99584</v>
      </c>
      <c r="I416" s="0" t="str">
        <f aca="false">IF(H416="","",C416&amp;"|"&amp;(COUNTIFS($C$2:$C$1000,C416,$H$2:$H$1000,"&gt;"&amp;H416)+1))</f>
        <v>RB|32</v>
      </c>
    </row>
    <row r="417" customFormat="false" ht="15" hidden="false" customHeight="false" outlineLevel="0" collapsed="false">
      <c r="A417" s="2" t="n">
        <f aca="false">IF(F417="","",COUNTIF($F$2:$F$1000,"&gt;"&amp;F417)+1)</f>
        <v>415</v>
      </c>
      <c r="B417" s="3" t="s">
        <v>435</v>
      </c>
      <c r="C417" s="4" t="s">
        <v>51</v>
      </c>
      <c r="D417" s="5" t="str">
        <f aca="false">IF(C417="","",IFERROR(INDEX(Summary!$B$2:$B$14,MATCH(C417,Summary!$A$2:$A$14,0)),"?"))</f>
        <v>Defensive Midfielder</v>
      </c>
      <c r="E417" s="5" t="str">
        <f aca="false">IF(C417="","",IFERROR(INDEX(Summary!$C$2:$C$14,MATCH(C417,Summary!$A$2:$A$14,0)),"?"))</f>
        <v>Centrocampo</v>
      </c>
      <c r="F417" s="6" t="n">
        <v>73</v>
      </c>
      <c r="H417" s="7" t="n">
        <f aca="false">IF(OR(B417="",F417=""),"",F417-ROW()/100000)</f>
        <v>72.99583</v>
      </c>
      <c r="I417" s="0" t="str">
        <f aca="false">IF(H417="","",C417&amp;"|"&amp;(COUNTIFS($C$2:$C$1000,C417,$H$2:$H$1000,"&gt;"&amp;H417)+1))</f>
        <v>DMF|38</v>
      </c>
    </row>
    <row r="418" customFormat="false" ht="15" hidden="false" customHeight="false" outlineLevel="0" collapsed="false">
      <c r="A418" s="2" t="n">
        <f aca="false">IF(F418="","",COUNTIF($F$2:$F$1000,"&gt;"&amp;F418)+1)</f>
        <v>417</v>
      </c>
      <c r="B418" s="3" t="s">
        <v>436</v>
      </c>
      <c r="C418" s="4" t="s">
        <v>11</v>
      </c>
      <c r="D418" s="5" t="str">
        <f aca="false">IF(C418="","",IFERROR(INDEX(Summary!$B$2:$B$14,MATCH(C418,Summary!$A$2:$A$14,0)),"?"))</f>
        <v>Central Midfielder</v>
      </c>
      <c r="E418" s="5" t="str">
        <f aca="false">IF(C418="","",IFERROR(INDEX(Summary!$C$2:$C$14,MATCH(C418,Summary!$A$2:$A$14,0)),"?"))</f>
        <v>Centrocampo</v>
      </c>
      <c r="F418" s="6" t="n">
        <v>72</v>
      </c>
      <c r="H418" s="7" t="n">
        <f aca="false">IF(OR(B418="",F418=""),"",F418-ROW()/100000)</f>
        <v>71.99582</v>
      </c>
      <c r="I418" s="0" t="str">
        <f aca="false">IF(H418="","",C418&amp;"|"&amp;(COUNTIFS($C$2:$C$1000,C418,$H$2:$H$1000,"&gt;"&amp;H418)+1))</f>
        <v>CMF|38</v>
      </c>
    </row>
    <row r="419" customFormat="false" ht="15" hidden="false" customHeight="false" outlineLevel="0" collapsed="false">
      <c r="A419" s="2" t="n">
        <f aca="false">IF(F419="","",COUNTIF($F$2:$F$1000,"&gt;"&amp;F419)+1)</f>
        <v>418</v>
      </c>
      <c r="B419" s="3" t="s">
        <v>437</v>
      </c>
      <c r="C419" s="4" t="s">
        <v>9</v>
      </c>
      <c r="D419" s="5" t="str">
        <f aca="false">IF(C419="","",IFERROR(INDEX(Summary!$B$2:$B$14,MATCH(C419,Summary!$A$2:$A$14,0)),"?"))</f>
        <v>Goalkeeper</v>
      </c>
      <c r="E419" s="5" t="str">
        <f aca="false">IF(C419="","",IFERROR(INDEX(Summary!$C$2:$C$14,MATCH(C419,Summary!$A$2:$A$14,0)),"?"))</f>
        <v>Portieri</v>
      </c>
      <c r="F419" s="6" t="n">
        <v>40</v>
      </c>
      <c r="H419" s="7" t="n">
        <f aca="false">IF(OR(B419="",F419=""),"",F419-ROW()/100000)</f>
        <v>39.99581</v>
      </c>
      <c r="I419" s="0" t="str">
        <f aca="false">IF(H419="","",C419&amp;"|"&amp;(COUNTIFS($C$2:$C$1000,C419,$H$2:$H$1000,"&gt;"&amp;H419)+1))</f>
        <v>GK|36</v>
      </c>
    </row>
    <row r="420" customFormat="false" ht="15" hidden="false" customHeight="false" outlineLevel="0" collapsed="false">
      <c r="A420" s="8" t="str">
        <f aca="false">IF(F420="","",COUNTIF($F$2:$F$1000,"&gt;"&amp;F420)+1)</f>
        <v/>
      </c>
      <c r="B420" s="9"/>
      <c r="C420" s="10"/>
      <c r="D420" s="11" t="str">
        <f aca="false">IF(C420="","",IFERROR(INDEX(Summary!$B$2:$B$14,MATCH(C420,Summary!$A$2:$A$14,0)),"?"))</f>
        <v/>
      </c>
      <c r="E420" s="11" t="str">
        <f aca="false">IF(C420="","",IFERROR(INDEX(Summary!$C$2:$C$14,MATCH(C420,Summary!$A$2:$A$14,0)),"?"))</f>
        <v/>
      </c>
      <c r="F420" s="12"/>
      <c r="H420" s="0" t="str">
        <f aca="false">IF(OR(B420="",F420=""),"",F420-ROW()/100000)</f>
        <v/>
      </c>
      <c r="I420" s="0" t="str">
        <f aca="false">IF(H420="","",C420&amp;"|"&amp;(COUNTIFS($C$2:$C$1000,C420,$H$2:$H$1000,"&gt;"&amp;H420)+1))</f>
        <v/>
      </c>
    </row>
    <row r="421" customFormat="false" ht="15" hidden="false" customHeight="false" outlineLevel="0" collapsed="false">
      <c r="A421" s="8" t="str">
        <f aca="false">IF(F421="","",COUNTIF($F$2:$F$1000,"&gt;"&amp;F421)+1)</f>
        <v/>
      </c>
      <c r="B421" s="9"/>
      <c r="C421" s="10"/>
      <c r="D421" s="11" t="str">
        <f aca="false">IF(C421="","",IFERROR(INDEX(Summary!$B$2:$B$14,MATCH(C421,Summary!$A$2:$A$14,0)),"?"))</f>
        <v/>
      </c>
      <c r="E421" s="11" t="str">
        <f aca="false">IF(C421="","",IFERROR(INDEX(Summary!$C$2:$C$14,MATCH(C421,Summary!$A$2:$A$14,0)),"?"))</f>
        <v/>
      </c>
      <c r="F421" s="12"/>
      <c r="H421" s="0" t="str">
        <f aca="false">IF(OR(B421="",F421=""),"",F421-ROW()/100000)</f>
        <v/>
      </c>
      <c r="I421" s="0" t="str">
        <f aca="false">IF(H421="","",C421&amp;"|"&amp;(COUNTIFS($C$2:$C$1000,C421,$H$2:$H$1000,"&gt;"&amp;H421)+1))</f>
        <v/>
      </c>
    </row>
    <row r="422" customFormat="false" ht="15" hidden="false" customHeight="false" outlineLevel="0" collapsed="false">
      <c r="A422" s="8" t="str">
        <f aca="false">IF(F422="","",COUNTIF($F$2:$F$1000,"&gt;"&amp;F422)+1)</f>
        <v/>
      </c>
      <c r="B422" s="9"/>
      <c r="C422" s="10"/>
      <c r="D422" s="11" t="str">
        <f aca="false">IF(C422="","",IFERROR(INDEX(Summary!$B$2:$B$14,MATCH(C422,Summary!$A$2:$A$14,0)),"?"))</f>
        <v/>
      </c>
      <c r="E422" s="11" t="str">
        <f aca="false">IF(C422="","",IFERROR(INDEX(Summary!$C$2:$C$14,MATCH(C422,Summary!$A$2:$A$14,0)),"?"))</f>
        <v/>
      </c>
      <c r="F422" s="12"/>
      <c r="H422" s="0" t="str">
        <f aca="false">IF(OR(B422="",F422=""),"",F422-ROW()/100000)</f>
        <v/>
      </c>
      <c r="I422" s="0" t="str">
        <f aca="false">IF(H422="","",C422&amp;"|"&amp;(COUNTIFS($C$2:$C$1000,C422,$H$2:$H$1000,"&gt;"&amp;H422)+1))</f>
        <v/>
      </c>
    </row>
    <row r="423" customFormat="false" ht="15" hidden="false" customHeight="false" outlineLevel="0" collapsed="false">
      <c r="A423" s="8" t="str">
        <f aca="false">IF(F423="","",COUNTIF($F$2:$F$1000,"&gt;"&amp;F423)+1)</f>
        <v/>
      </c>
      <c r="B423" s="9"/>
      <c r="C423" s="10"/>
      <c r="D423" s="11" t="str">
        <f aca="false">IF(C423="","",IFERROR(INDEX(Summary!$B$2:$B$14,MATCH(C423,Summary!$A$2:$A$14,0)),"?"))</f>
        <v/>
      </c>
      <c r="E423" s="11" t="str">
        <f aca="false">IF(C423="","",IFERROR(INDEX(Summary!$C$2:$C$14,MATCH(C423,Summary!$A$2:$A$14,0)),"?"))</f>
        <v/>
      </c>
      <c r="F423" s="12"/>
      <c r="H423" s="0" t="str">
        <f aca="false">IF(OR(B423="",F423=""),"",F423-ROW()/100000)</f>
        <v/>
      </c>
      <c r="I423" s="0" t="str">
        <f aca="false">IF(H423="","",C423&amp;"|"&amp;(COUNTIFS($C$2:$C$1000,C423,$H$2:$H$1000,"&gt;"&amp;H423)+1))</f>
        <v/>
      </c>
    </row>
    <row r="424" customFormat="false" ht="15" hidden="false" customHeight="false" outlineLevel="0" collapsed="false">
      <c r="A424" s="8" t="str">
        <f aca="false">IF(F424="","",COUNTIF($F$2:$F$1000,"&gt;"&amp;F424)+1)</f>
        <v/>
      </c>
      <c r="B424" s="9"/>
      <c r="C424" s="10"/>
      <c r="D424" s="11" t="str">
        <f aca="false">IF(C424="","",IFERROR(INDEX(Summary!$B$2:$B$14,MATCH(C424,Summary!$A$2:$A$14,0)),"?"))</f>
        <v/>
      </c>
      <c r="E424" s="11" t="str">
        <f aca="false">IF(C424="","",IFERROR(INDEX(Summary!$C$2:$C$14,MATCH(C424,Summary!$A$2:$A$14,0)),"?"))</f>
        <v/>
      </c>
      <c r="F424" s="12"/>
      <c r="H424" s="0" t="str">
        <f aca="false">IF(OR(B424="",F424=""),"",F424-ROW()/100000)</f>
        <v/>
      </c>
      <c r="I424" s="0" t="str">
        <f aca="false">IF(H424="","",C424&amp;"|"&amp;(COUNTIFS($C$2:$C$1000,C424,$H$2:$H$1000,"&gt;"&amp;H424)+1))</f>
        <v/>
      </c>
    </row>
    <row r="425" customFormat="false" ht="15" hidden="false" customHeight="false" outlineLevel="0" collapsed="false">
      <c r="A425" s="8" t="str">
        <f aca="false">IF(F425="","",COUNTIF($F$2:$F$1000,"&gt;"&amp;F425)+1)</f>
        <v/>
      </c>
      <c r="B425" s="9"/>
      <c r="C425" s="10"/>
      <c r="D425" s="11" t="str">
        <f aca="false">IF(C425="","",IFERROR(INDEX(Summary!$B$2:$B$14,MATCH(C425,Summary!$A$2:$A$14,0)),"?"))</f>
        <v/>
      </c>
      <c r="E425" s="11" t="str">
        <f aca="false">IF(C425="","",IFERROR(INDEX(Summary!$C$2:$C$14,MATCH(C425,Summary!$A$2:$A$14,0)),"?"))</f>
        <v/>
      </c>
      <c r="F425" s="12"/>
      <c r="H425" s="0" t="str">
        <f aca="false">IF(OR(B425="",F425=""),"",F425-ROW()/100000)</f>
        <v/>
      </c>
      <c r="I425" s="0" t="str">
        <f aca="false">IF(H425="","",C425&amp;"|"&amp;(COUNTIFS($C$2:$C$1000,C425,$H$2:$H$1000,"&gt;"&amp;H425)+1))</f>
        <v/>
      </c>
    </row>
    <row r="426" customFormat="false" ht="15" hidden="false" customHeight="false" outlineLevel="0" collapsed="false">
      <c r="A426" s="8" t="str">
        <f aca="false">IF(F426="","",COUNTIF($F$2:$F$1000,"&gt;"&amp;F426)+1)</f>
        <v/>
      </c>
      <c r="B426" s="9"/>
      <c r="C426" s="10"/>
      <c r="D426" s="11" t="str">
        <f aca="false">IF(C426="","",IFERROR(INDEX(Summary!$B$2:$B$14,MATCH(C426,Summary!$A$2:$A$14,0)),"?"))</f>
        <v/>
      </c>
      <c r="E426" s="11" t="str">
        <f aca="false">IF(C426="","",IFERROR(INDEX(Summary!$C$2:$C$14,MATCH(C426,Summary!$A$2:$A$14,0)),"?"))</f>
        <v/>
      </c>
      <c r="F426" s="12"/>
      <c r="H426" s="0" t="str">
        <f aca="false">IF(OR(B426="",F426=""),"",F426-ROW()/100000)</f>
        <v/>
      </c>
      <c r="I426" s="0" t="str">
        <f aca="false">IF(H426="","",C426&amp;"|"&amp;(COUNTIFS($C$2:$C$1000,C426,$H$2:$H$1000,"&gt;"&amp;H426)+1))</f>
        <v/>
      </c>
    </row>
    <row r="427" customFormat="false" ht="15" hidden="false" customHeight="false" outlineLevel="0" collapsed="false">
      <c r="A427" s="8" t="str">
        <f aca="false">IF(F427="","",COUNTIF($F$2:$F$1000,"&gt;"&amp;F427)+1)</f>
        <v/>
      </c>
      <c r="B427" s="9"/>
      <c r="C427" s="10"/>
      <c r="D427" s="11" t="str">
        <f aca="false">IF(C427="","",IFERROR(INDEX(Summary!$B$2:$B$14,MATCH(C427,Summary!$A$2:$A$14,0)),"?"))</f>
        <v/>
      </c>
      <c r="E427" s="11" t="str">
        <f aca="false">IF(C427="","",IFERROR(INDEX(Summary!$C$2:$C$14,MATCH(C427,Summary!$A$2:$A$14,0)),"?"))</f>
        <v/>
      </c>
      <c r="F427" s="12"/>
      <c r="H427" s="0" t="str">
        <f aca="false">IF(OR(B427="",F427=""),"",F427-ROW()/100000)</f>
        <v/>
      </c>
      <c r="I427" s="0" t="str">
        <f aca="false">IF(H427="","",C427&amp;"|"&amp;(COUNTIFS($C$2:$C$1000,C427,$H$2:$H$1000,"&gt;"&amp;H427)+1))</f>
        <v/>
      </c>
    </row>
    <row r="428" customFormat="false" ht="15" hidden="false" customHeight="false" outlineLevel="0" collapsed="false">
      <c r="A428" s="8" t="str">
        <f aca="false">IF(F428="","",COUNTIF($F$2:$F$1000,"&gt;"&amp;F428)+1)</f>
        <v/>
      </c>
      <c r="B428" s="9"/>
      <c r="C428" s="10"/>
      <c r="D428" s="11" t="str">
        <f aca="false">IF(C428="","",IFERROR(INDEX(Summary!$B$2:$B$14,MATCH(C428,Summary!$A$2:$A$14,0)),"?"))</f>
        <v/>
      </c>
      <c r="E428" s="11" t="str">
        <f aca="false">IF(C428="","",IFERROR(INDEX(Summary!$C$2:$C$14,MATCH(C428,Summary!$A$2:$A$14,0)),"?"))</f>
        <v/>
      </c>
      <c r="F428" s="12"/>
      <c r="H428" s="0" t="str">
        <f aca="false">IF(OR(B428="",F428=""),"",F428-ROW()/100000)</f>
        <v/>
      </c>
      <c r="I428" s="0" t="str">
        <f aca="false">IF(H428="","",C428&amp;"|"&amp;(COUNTIFS($C$2:$C$1000,C428,$H$2:$H$1000,"&gt;"&amp;H428)+1))</f>
        <v/>
      </c>
    </row>
    <row r="429" customFormat="false" ht="15" hidden="false" customHeight="false" outlineLevel="0" collapsed="false">
      <c r="A429" s="8" t="str">
        <f aca="false">IF(F429="","",COUNTIF($F$2:$F$1000,"&gt;"&amp;F429)+1)</f>
        <v/>
      </c>
      <c r="B429" s="9"/>
      <c r="C429" s="10"/>
      <c r="D429" s="11" t="str">
        <f aca="false">IF(C429="","",IFERROR(INDEX(Summary!$B$2:$B$14,MATCH(C429,Summary!$A$2:$A$14,0)),"?"))</f>
        <v/>
      </c>
      <c r="E429" s="11" t="str">
        <f aca="false">IF(C429="","",IFERROR(INDEX(Summary!$C$2:$C$14,MATCH(C429,Summary!$A$2:$A$14,0)),"?"))</f>
        <v/>
      </c>
      <c r="F429" s="12"/>
      <c r="H429" s="0" t="str">
        <f aca="false">IF(OR(B429="",F429=""),"",F429-ROW()/100000)</f>
        <v/>
      </c>
      <c r="I429" s="0" t="str">
        <f aca="false">IF(H429="","",C429&amp;"|"&amp;(COUNTIFS($C$2:$C$1000,C429,$H$2:$H$1000,"&gt;"&amp;H429)+1))</f>
        <v/>
      </c>
    </row>
    <row r="430" customFormat="false" ht="15" hidden="false" customHeight="false" outlineLevel="0" collapsed="false">
      <c r="A430" s="8" t="str">
        <f aca="false">IF(F430="","",COUNTIF($F$2:$F$1000,"&gt;"&amp;F430)+1)</f>
        <v/>
      </c>
      <c r="B430" s="9"/>
      <c r="C430" s="10"/>
      <c r="D430" s="11" t="str">
        <f aca="false">IF(C430="","",IFERROR(INDEX(Summary!$B$2:$B$14,MATCH(C430,Summary!$A$2:$A$14,0)),"?"))</f>
        <v/>
      </c>
      <c r="E430" s="11" t="str">
        <f aca="false">IF(C430="","",IFERROR(INDEX(Summary!$C$2:$C$14,MATCH(C430,Summary!$A$2:$A$14,0)),"?"))</f>
        <v/>
      </c>
      <c r="F430" s="12"/>
      <c r="H430" s="0" t="str">
        <f aca="false">IF(OR(B430="",F430=""),"",F430-ROW()/100000)</f>
        <v/>
      </c>
      <c r="I430" s="0" t="str">
        <f aca="false">IF(H430="","",C430&amp;"|"&amp;(COUNTIFS($C$2:$C$1000,C430,$H$2:$H$1000,"&gt;"&amp;H430)+1))</f>
        <v/>
      </c>
    </row>
    <row r="431" customFormat="false" ht="15" hidden="false" customHeight="false" outlineLevel="0" collapsed="false">
      <c r="A431" s="8" t="str">
        <f aca="false">IF(F431="","",COUNTIF($F$2:$F$1000,"&gt;"&amp;F431)+1)</f>
        <v/>
      </c>
      <c r="B431" s="9"/>
      <c r="C431" s="10"/>
      <c r="D431" s="11" t="str">
        <f aca="false">IF(C431="","",IFERROR(INDEX(Summary!$B$2:$B$14,MATCH(C431,Summary!$A$2:$A$14,0)),"?"))</f>
        <v/>
      </c>
      <c r="E431" s="11" t="str">
        <f aca="false">IF(C431="","",IFERROR(INDEX(Summary!$C$2:$C$14,MATCH(C431,Summary!$A$2:$A$14,0)),"?"))</f>
        <v/>
      </c>
      <c r="F431" s="12"/>
      <c r="H431" s="0" t="str">
        <f aca="false">IF(OR(B431="",F431=""),"",F431-ROW()/100000)</f>
        <v/>
      </c>
      <c r="I431" s="0" t="str">
        <f aca="false">IF(H431="","",C431&amp;"|"&amp;(COUNTIFS($C$2:$C$1000,C431,$H$2:$H$1000,"&gt;"&amp;H431)+1))</f>
        <v/>
      </c>
    </row>
    <row r="432" customFormat="false" ht="15" hidden="false" customHeight="false" outlineLevel="0" collapsed="false">
      <c r="A432" s="8" t="str">
        <f aca="false">IF(F432="","",COUNTIF($F$2:$F$1000,"&gt;"&amp;F432)+1)</f>
        <v/>
      </c>
      <c r="B432" s="9"/>
      <c r="C432" s="10"/>
      <c r="D432" s="11" t="str">
        <f aca="false">IF(C432="","",IFERROR(INDEX(Summary!$B$2:$B$14,MATCH(C432,Summary!$A$2:$A$14,0)),"?"))</f>
        <v/>
      </c>
      <c r="E432" s="11" t="str">
        <f aca="false">IF(C432="","",IFERROR(INDEX(Summary!$C$2:$C$14,MATCH(C432,Summary!$A$2:$A$14,0)),"?"))</f>
        <v/>
      </c>
      <c r="F432" s="12"/>
      <c r="H432" s="0" t="str">
        <f aca="false">IF(OR(B432="",F432=""),"",F432-ROW()/100000)</f>
        <v/>
      </c>
      <c r="I432" s="0" t="str">
        <f aca="false">IF(H432="","",C432&amp;"|"&amp;(COUNTIFS($C$2:$C$1000,C432,$H$2:$H$1000,"&gt;"&amp;H432)+1))</f>
        <v/>
      </c>
    </row>
    <row r="433" customFormat="false" ht="15" hidden="false" customHeight="false" outlineLevel="0" collapsed="false">
      <c r="A433" s="8" t="str">
        <f aca="false">IF(F433="","",COUNTIF($F$2:$F$1000,"&gt;"&amp;F433)+1)</f>
        <v/>
      </c>
      <c r="B433" s="9"/>
      <c r="C433" s="10"/>
      <c r="D433" s="11" t="str">
        <f aca="false">IF(C433="","",IFERROR(INDEX(Summary!$B$2:$B$14,MATCH(C433,Summary!$A$2:$A$14,0)),"?"))</f>
        <v/>
      </c>
      <c r="E433" s="11" t="str">
        <f aca="false">IF(C433="","",IFERROR(INDEX(Summary!$C$2:$C$14,MATCH(C433,Summary!$A$2:$A$14,0)),"?"))</f>
        <v/>
      </c>
      <c r="F433" s="12"/>
      <c r="H433" s="0" t="str">
        <f aca="false">IF(OR(B433="",F433=""),"",F433-ROW()/100000)</f>
        <v/>
      </c>
      <c r="I433" s="0" t="str">
        <f aca="false">IF(H433="","",C433&amp;"|"&amp;(COUNTIFS($C$2:$C$1000,C433,$H$2:$H$1000,"&gt;"&amp;H433)+1))</f>
        <v/>
      </c>
    </row>
    <row r="434" customFormat="false" ht="15" hidden="false" customHeight="false" outlineLevel="0" collapsed="false">
      <c r="A434" s="8" t="str">
        <f aca="false">IF(F434="","",COUNTIF($F$2:$F$1000,"&gt;"&amp;F434)+1)</f>
        <v/>
      </c>
      <c r="B434" s="9"/>
      <c r="C434" s="10"/>
      <c r="D434" s="11" t="str">
        <f aca="false">IF(C434="","",IFERROR(INDEX(Summary!$B$2:$B$14,MATCH(C434,Summary!$A$2:$A$14,0)),"?"))</f>
        <v/>
      </c>
      <c r="E434" s="11" t="str">
        <f aca="false">IF(C434="","",IFERROR(INDEX(Summary!$C$2:$C$14,MATCH(C434,Summary!$A$2:$A$14,0)),"?"))</f>
        <v/>
      </c>
      <c r="F434" s="12"/>
      <c r="H434" s="0" t="str">
        <f aca="false">IF(OR(B434="",F434=""),"",F434-ROW()/100000)</f>
        <v/>
      </c>
      <c r="I434" s="0" t="str">
        <f aca="false">IF(H434="","",C434&amp;"|"&amp;(COUNTIFS($C$2:$C$1000,C434,$H$2:$H$1000,"&gt;"&amp;H434)+1))</f>
        <v/>
      </c>
    </row>
    <row r="435" customFormat="false" ht="15" hidden="false" customHeight="false" outlineLevel="0" collapsed="false">
      <c r="A435" s="8" t="str">
        <f aca="false">IF(F435="","",COUNTIF($F$2:$F$1000,"&gt;"&amp;F435)+1)</f>
        <v/>
      </c>
      <c r="B435" s="9"/>
      <c r="C435" s="10"/>
      <c r="D435" s="11" t="str">
        <f aca="false">IF(C435="","",IFERROR(INDEX(Summary!$B$2:$B$14,MATCH(C435,Summary!$A$2:$A$14,0)),"?"))</f>
        <v/>
      </c>
      <c r="E435" s="11" t="str">
        <f aca="false">IF(C435="","",IFERROR(INDEX(Summary!$C$2:$C$14,MATCH(C435,Summary!$A$2:$A$14,0)),"?"))</f>
        <v/>
      </c>
      <c r="F435" s="12"/>
      <c r="H435" s="0" t="str">
        <f aca="false">IF(OR(B435="",F435=""),"",F435-ROW()/100000)</f>
        <v/>
      </c>
      <c r="I435" s="0" t="str">
        <f aca="false">IF(H435="","",C435&amp;"|"&amp;(COUNTIFS($C$2:$C$1000,C435,$H$2:$H$1000,"&gt;"&amp;H435)+1))</f>
        <v/>
      </c>
    </row>
    <row r="436" customFormat="false" ht="15" hidden="false" customHeight="false" outlineLevel="0" collapsed="false">
      <c r="A436" s="8" t="str">
        <f aca="false">IF(F436="","",COUNTIF($F$2:$F$1000,"&gt;"&amp;F436)+1)</f>
        <v/>
      </c>
      <c r="B436" s="9"/>
      <c r="C436" s="10"/>
      <c r="D436" s="11" t="str">
        <f aca="false">IF(C436="","",IFERROR(INDEX(Summary!$B$2:$B$14,MATCH(C436,Summary!$A$2:$A$14,0)),"?"))</f>
        <v/>
      </c>
      <c r="E436" s="11" t="str">
        <f aca="false">IF(C436="","",IFERROR(INDEX(Summary!$C$2:$C$14,MATCH(C436,Summary!$A$2:$A$14,0)),"?"))</f>
        <v/>
      </c>
      <c r="F436" s="12"/>
      <c r="H436" s="0" t="str">
        <f aca="false">IF(OR(B436="",F436=""),"",F436-ROW()/100000)</f>
        <v/>
      </c>
      <c r="I436" s="0" t="str">
        <f aca="false">IF(H436="","",C436&amp;"|"&amp;(COUNTIFS($C$2:$C$1000,C436,$H$2:$H$1000,"&gt;"&amp;H436)+1))</f>
        <v/>
      </c>
    </row>
    <row r="437" customFormat="false" ht="15" hidden="false" customHeight="false" outlineLevel="0" collapsed="false">
      <c r="A437" s="8" t="str">
        <f aca="false">IF(F437="","",COUNTIF($F$2:$F$1000,"&gt;"&amp;F437)+1)</f>
        <v/>
      </c>
      <c r="B437" s="9"/>
      <c r="C437" s="10"/>
      <c r="D437" s="11" t="str">
        <f aca="false">IF(C437="","",IFERROR(INDEX(Summary!$B$2:$B$14,MATCH(C437,Summary!$A$2:$A$14,0)),"?"))</f>
        <v/>
      </c>
      <c r="E437" s="11" t="str">
        <f aca="false">IF(C437="","",IFERROR(INDEX(Summary!$C$2:$C$14,MATCH(C437,Summary!$A$2:$A$14,0)),"?"))</f>
        <v/>
      </c>
      <c r="F437" s="12"/>
      <c r="H437" s="0" t="str">
        <f aca="false">IF(OR(B437="",F437=""),"",F437-ROW()/100000)</f>
        <v/>
      </c>
      <c r="I437" s="0" t="str">
        <f aca="false">IF(H437="","",C437&amp;"|"&amp;(COUNTIFS($C$2:$C$1000,C437,$H$2:$H$1000,"&gt;"&amp;H437)+1))</f>
        <v/>
      </c>
    </row>
    <row r="438" customFormat="false" ht="15" hidden="false" customHeight="false" outlineLevel="0" collapsed="false">
      <c r="A438" s="8" t="str">
        <f aca="false">IF(F438="","",COUNTIF($F$2:$F$1000,"&gt;"&amp;F438)+1)</f>
        <v/>
      </c>
      <c r="B438" s="9"/>
      <c r="C438" s="10"/>
      <c r="D438" s="11" t="str">
        <f aca="false">IF(C438="","",IFERROR(INDEX(Summary!$B$2:$B$14,MATCH(C438,Summary!$A$2:$A$14,0)),"?"))</f>
        <v/>
      </c>
      <c r="E438" s="11" t="str">
        <f aca="false">IF(C438="","",IFERROR(INDEX(Summary!$C$2:$C$14,MATCH(C438,Summary!$A$2:$A$14,0)),"?"))</f>
        <v/>
      </c>
      <c r="F438" s="12"/>
      <c r="H438" s="0" t="str">
        <f aca="false">IF(OR(B438="",F438=""),"",F438-ROW()/100000)</f>
        <v/>
      </c>
      <c r="I438" s="0" t="str">
        <f aca="false">IF(H438="","",C438&amp;"|"&amp;(COUNTIFS($C$2:$C$1000,C438,$H$2:$H$1000,"&gt;"&amp;H438)+1))</f>
        <v/>
      </c>
    </row>
    <row r="439" customFormat="false" ht="15" hidden="false" customHeight="false" outlineLevel="0" collapsed="false">
      <c r="A439" s="8" t="str">
        <f aca="false">IF(F439="","",COUNTIF($F$2:$F$1000,"&gt;"&amp;F439)+1)</f>
        <v/>
      </c>
      <c r="B439" s="9"/>
      <c r="C439" s="10"/>
      <c r="D439" s="11" t="str">
        <f aca="false">IF(C439="","",IFERROR(INDEX(Summary!$B$2:$B$14,MATCH(C439,Summary!$A$2:$A$14,0)),"?"))</f>
        <v/>
      </c>
      <c r="E439" s="11" t="str">
        <f aca="false">IF(C439="","",IFERROR(INDEX(Summary!$C$2:$C$14,MATCH(C439,Summary!$A$2:$A$14,0)),"?"))</f>
        <v/>
      </c>
      <c r="F439" s="12"/>
      <c r="H439" s="0" t="str">
        <f aca="false">IF(OR(B439="",F439=""),"",F439-ROW()/100000)</f>
        <v/>
      </c>
      <c r="I439" s="0" t="str">
        <f aca="false">IF(H439="","",C439&amp;"|"&amp;(COUNTIFS($C$2:$C$1000,C439,$H$2:$H$1000,"&gt;"&amp;H439)+1))</f>
        <v/>
      </c>
    </row>
    <row r="440" customFormat="false" ht="15" hidden="false" customHeight="false" outlineLevel="0" collapsed="false">
      <c r="A440" s="8" t="str">
        <f aca="false">IF(F440="","",COUNTIF($F$2:$F$1000,"&gt;"&amp;F440)+1)</f>
        <v/>
      </c>
      <c r="B440" s="9"/>
      <c r="C440" s="10"/>
      <c r="D440" s="11" t="str">
        <f aca="false">IF(C440="","",IFERROR(INDEX(Summary!$B$2:$B$14,MATCH(C440,Summary!$A$2:$A$14,0)),"?"))</f>
        <v/>
      </c>
      <c r="E440" s="11" t="str">
        <f aca="false">IF(C440="","",IFERROR(INDEX(Summary!$C$2:$C$14,MATCH(C440,Summary!$A$2:$A$14,0)),"?"))</f>
        <v/>
      </c>
      <c r="F440" s="12"/>
      <c r="H440" s="0" t="str">
        <f aca="false">IF(OR(B440="",F440=""),"",F440-ROW()/100000)</f>
        <v/>
      </c>
      <c r="I440" s="0" t="str">
        <f aca="false">IF(H440="","",C440&amp;"|"&amp;(COUNTIFS($C$2:$C$1000,C440,$H$2:$H$1000,"&gt;"&amp;H440)+1))</f>
        <v/>
      </c>
    </row>
    <row r="441" customFormat="false" ht="15" hidden="false" customHeight="false" outlineLevel="0" collapsed="false">
      <c r="A441" s="8" t="str">
        <f aca="false">IF(F441="","",COUNTIF($F$2:$F$1000,"&gt;"&amp;F441)+1)</f>
        <v/>
      </c>
      <c r="B441" s="9"/>
      <c r="C441" s="10"/>
      <c r="D441" s="11" t="str">
        <f aca="false">IF(C441="","",IFERROR(INDEX(Summary!$B$2:$B$14,MATCH(C441,Summary!$A$2:$A$14,0)),"?"))</f>
        <v/>
      </c>
      <c r="E441" s="11" t="str">
        <f aca="false">IF(C441="","",IFERROR(INDEX(Summary!$C$2:$C$14,MATCH(C441,Summary!$A$2:$A$14,0)),"?"))</f>
        <v/>
      </c>
      <c r="F441" s="12"/>
      <c r="H441" s="0" t="str">
        <f aca="false">IF(OR(B441="",F441=""),"",F441-ROW()/100000)</f>
        <v/>
      </c>
      <c r="I441" s="0" t="str">
        <f aca="false">IF(H441="","",C441&amp;"|"&amp;(COUNTIFS($C$2:$C$1000,C441,$H$2:$H$1000,"&gt;"&amp;H441)+1))</f>
        <v/>
      </c>
    </row>
    <row r="442" customFormat="false" ht="15" hidden="false" customHeight="false" outlineLevel="0" collapsed="false">
      <c r="A442" s="8" t="str">
        <f aca="false">IF(F442="","",COUNTIF($F$2:$F$1000,"&gt;"&amp;F442)+1)</f>
        <v/>
      </c>
      <c r="B442" s="9"/>
      <c r="C442" s="10"/>
      <c r="D442" s="11" t="str">
        <f aca="false">IF(C442="","",IFERROR(INDEX(Summary!$B$2:$B$14,MATCH(C442,Summary!$A$2:$A$14,0)),"?"))</f>
        <v/>
      </c>
      <c r="E442" s="11" t="str">
        <f aca="false">IF(C442="","",IFERROR(INDEX(Summary!$C$2:$C$14,MATCH(C442,Summary!$A$2:$A$14,0)),"?"))</f>
        <v/>
      </c>
      <c r="F442" s="12"/>
      <c r="H442" s="0" t="str">
        <f aca="false">IF(OR(B442="",F442=""),"",F442-ROW()/100000)</f>
        <v/>
      </c>
      <c r="I442" s="0" t="str">
        <f aca="false">IF(H442="","",C442&amp;"|"&amp;(COUNTIFS($C$2:$C$1000,C442,$H$2:$H$1000,"&gt;"&amp;H442)+1))</f>
        <v/>
      </c>
    </row>
    <row r="443" customFormat="false" ht="15" hidden="false" customHeight="false" outlineLevel="0" collapsed="false">
      <c r="A443" s="8" t="str">
        <f aca="false">IF(F443="","",COUNTIF($F$2:$F$1000,"&gt;"&amp;F443)+1)</f>
        <v/>
      </c>
      <c r="B443" s="9"/>
      <c r="C443" s="10"/>
      <c r="D443" s="11" t="str">
        <f aca="false">IF(C443="","",IFERROR(INDEX(Summary!$B$2:$B$14,MATCH(C443,Summary!$A$2:$A$14,0)),"?"))</f>
        <v/>
      </c>
      <c r="E443" s="11" t="str">
        <f aca="false">IF(C443="","",IFERROR(INDEX(Summary!$C$2:$C$14,MATCH(C443,Summary!$A$2:$A$14,0)),"?"))</f>
        <v/>
      </c>
      <c r="F443" s="12"/>
      <c r="H443" s="0" t="str">
        <f aca="false">IF(OR(B443="",F443=""),"",F443-ROW()/100000)</f>
        <v/>
      </c>
      <c r="I443" s="0" t="str">
        <f aca="false">IF(H443="","",C443&amp;"|"&amp;(COUNTIFS($C$2:$C$1000,C443,$H$2:$H$1000,"&gt;"&amp;H443)+1))</f>
        <v/>
      </c>
    </row>
    <row r="444" customFormat="false" ht="15" hidden="false" customHeight="false" outlineLevel="0" collapsed="false">
      <c r="A444" s="8" t="str">
        <f aca="false">IF(F444="","",COUNTIF($F$2:$F$1000,"&gt;"&amp;F444)+1)</f>
        <v/>
      </c>
      <c r="B444" s="9"/>
      <c r="C444" s="10"/>
      <c r="D444" s="11" t="str">
        <f aca="false">IF(C444="","",IFERROR(INDEX(Summary!$B$2:$B$14,MATCH(C444,Summary!$A$2:$A$14,0)),"?"))</f>
        <v/>
      </c>
      <c r="E444" s="11" t="str">
        <f aca="false">IF(C444="","",IFERROR(INDEX(Summary!$C$2:$C$14,MATCH(C444,Summary!$A$2:$A$14,0)),"?"))</f>
        <v/>
      </c>
      <c r="F444" s="12"/>
      <c r="H444" s="0" t="str">
        <f aca="false">IF(OR(B444="",F444=""),"",F444-ROW()/100000)</f>
        <v/>
      </c>
      <c r="I444" s="0" t="str">
        <f aca="false">IF(H444="","",C444&amp;"|"&amp;(COUNTIFS($C$2:$C$1000,C444,$H$2:$H$1000,"&gt;"&amp;H444)+1))</f>
        <v/>
      </c>
    </row>
    <row r="445" customFormat="false" ht="15" hidden="false" customHeight="false" outlineLevel="0" collapsed="false">
      <c r="A445" s="8" t="str">
        <f aca="false">IF(F445="","",COUNTIF($F$2:$F$1000,"&gt;"&amp;F445)+1)</f>
        <v/>
      </c>
      <c r="B445" s="9"/>
      <c r="C445" s="10"/>
      <c r="D445" s="11" t="str">
        <f aca="false">IF(C445="","",IFERROR(INDEX(Summary!$B$2:$B$14,MATCH(C445,Summary!$A$2:$A$14,0)),"?"))</f>
        <v/>
      </c>
      <c r="E445" s="11" t="str">
        <f aca="false">IF(C445="","",IFERROR(INDEX(Summary!$C$2:$C$14,MATCH(C445,Summary!$A$2:$A$14,0)),"?"))</f>
        <v/>
      </c>
      <c r="F445" s="12"/>
      <c r="H445" s="0" t="str">
        <f aca="false">IF(OR(B445="",F445=""),"",F445-ROW()/100000)</f>
        <v/>
      </c>
      <c r="I445" s="0" t="str">
        <f aca="false">IF(H445="","",C445&amp;"|"&amp;(COUNTIFS($C$2:$C$1000,C445,$H$2:$H$1000,"&gt;"&amp;H445)+1))</f>
        <v/>
      </c>
    </row>
    <row r="446" customFormat="false" ht="15" hidden="false" customHeight="false" outlineLevel="0" collapsed="false">
      <c r="A446" s="8" t="str">
        <f aca="false">IF(F446="","",COUNTIF($F$2:$F$1000,"&gt;"&amp;F446)+1)</f>
        <v/>
      </c>
      <c r="B446" s="9"/>
      <c r="C446" s="10"/>
      <c r="D446" s="11" t="str">
        <f aca="false">IF(C446="","",IFERROR(INDEX(Summary!$B$2:$B$14,MATCH(C446,Summary!$A$2:$A$14,0)),"?"))</f>
        <v/>
      </c>
      <c r="E446" s="11" t="str">
        <f aca="false">IF(C446="","",IFERROR(INDEX(Summary!$C$2:$C$14,MATCH(C446,Summary!$A$2:$A$14,0)),"?"))</f>
        <v/>
      </c>
      <c r="F446" s="12"/>
      <c r="H446" s="0" t="str">
        <f aca="false">IF(OR(B446="",F446=""),"",F446-ROW()/100000)</f>
        <v/>
      </c>
      <c r="I446" s="0" t="str">
        <f aca="false">IF(H446="","",C446&amp;"|"&amp;(COUNTIFS($C$2:$C$1000,C446,$H$2:$H$1000,"&gt;"&amp;H446)+1))</f>
        <v/>
      </c>
    </row>
    <row r="447" customFormat="false" ht="15" hidden="false" customHeight="false" outlineLevel="0" collapsed="false">
      <c r="A447" s="8" t="str">
        <f aca="false">IF(F447="","",COUNTIF($F$2:$F$1000,"&gt;"&amp;F447)+1)</f>
        <v/>
      </c>
      <c r="B447" s="9"/>
      <c r="C447" s="10"/>
      <c r="D447" s="11" t="str">
        <f aca="false">IF(C447="","",IFERROR(INDEX(Summary!$B$2:$B$14,MATCH(C447,Summary!$A$2:$A$14,0)),"?"))</f>
        <v/>
      </c>
      <c r="E447" s="11" t="str">
        <f aca="false">IF(C447="","",IFERROR(INDEX(Summary!$C$2:$C$14,MATCH(C447,Summary!$A$2:$A$14,0)),"?"))</f>
        <v/>
      </c>
      <c r="F447" s="12"/>
      <c r="H447" s="0" t="str">
        <f aca="false">IF(OR(B447="",F447=""),"",F447-ROW()/100000)</f>
        <v/>
      </c>
      <c r="I447" s="0" t="str">
        <f aca="false">IF(H447="","",C447&amp;"|"&amp;(COUNTIFS($C$2:$C$1000,C447,$H$2:$H$1000,"&gt;"&amp;H447)+1))</f>
        <v/>
      </c>
    </row>
    <row r="448" customFormat="false" ht="15" hidden="false" customHeight="false" outlineLevel="0" collapsed="false">
      <c r="A448" s="8" t="str">
        <f aca="false">IF(F448="","",COUNTIF($F$2:$F$1000,"&gt;"&amp;F448)+1)</f>
        <v/>
      </c>
      <c r="B448" s="9"/>
      <c r="C448" s="10"/>
      <c r="D448" s="11" t="str">
        <f aca="false">IF(C448="","",IFERROR(INDEX(Summary!$B$2:$B$14,MATCH(C448,Summary!$A$2:$A$14,0)),"?"))</f>
        <v/>
      </c>
      <c r="E448" s="11" t="str">
        <f aca="false">IF(C448="","",IFERROR(INDEX(Summary!$C$2:$C$14,MATCH(C448,Summary!$A$2:$A$14,0)),"?"))</f>
        <v/>
      </c>
      <c r="F448" s="12"/>
      <c r="H448" s="0" t="str">
        <f aca="false">IF(OR(B448="",F448=""),"",F448-ROW()/100000)</f>
        <v/>
      </c>
      <c r="I448" s="0" t="str">
        <f aca="false">IF(H448="","",C448&amp;"|"&amp;(COUNTIFS($C$2:$C$1000,C448,$H$2:$H$1000,"&gt;"&amp;H448)+1))</f>
        <v/>
      </c>
    </row>
    <row r="449" customFormat="false" ht="15" hidden="false" customHeight="false" outlineLevel="0" collapsed="false">
      <c r="A449" s="8" t="str">
        <f aca="false">IF(F449="","",COUNTIF($F$2:$F$1000,"&gt;"&amp;F449)+1)</f>
        <v/>
      </c>
      <c r="B449" s="9"/>
      <c r="C449" s="10"/>
      <c r="D449" s="11" t="str">
        <f aca="false">IF(C449="","",IFERROR(INDEX(Summary!$B$2:$B$14,MATCH(C449,Summary!$A$2:$A$14,0)),"?"))</f>
        <v/>
      </c>
      <c r="E449" s="11" t="str">
        <f aca="false">IF(C449="","",IFERROR(INDEX(Summary!$C$2:$C$14,MATCH(C449,Summary!$A$2:$A$14,0)),"?"))</f>
        <v/>
      </c>
      <c r="F449" s="12"/>
      <c r="H449" s="0" t="str">
        <f aca="false">IF(OR(B449="",F449=""),"",F449-ROW()/100000)</f>
        <v/>
      </c>
      <c r="I449" s="0" t="str">
        <f aca="false">IF(H449="","",C449&amp;"|"&amp;(COUNTIFS($C$2:$C$1000,C449,$H$2:$H$1000,"&gt;"&amp;H449)+1))</f>
        <v/>
      </c>
    </row>
    <row r="450" customFormat="false" ht="15" hidden="false" customHeight="false" outlineLevel="0" collapsed="false">
      <c r="A450" s="8" t="str">
        <f aca="false">IF(F450="","",COUNTIF($F$2:$F$1000,"&gt;"&amp;F450)+1)</f>
        <v/>
      </c>
      <c r="B450" s="9"/>
      <c r="C450" s="10"/>
      <c r="D450" s="11" t="str">
        <f aca="false">IF(C450="","",IFERROR(INDEX(Summary!$B$2:$B$14,MATCH(C450,Summary!$A$2:$A$14,0)),"?"))</f>
        <v/>
      </c>
      <c r="E450" s="11" t="str">
        <f aca="false">IF(C450="","",IFERROR(INDEX(Summary!$C$2:$C$14,MATCH(C450,Summary!$A$2:$A$14,0)),"?"))</f>
        <v/>
      </c>
      <c r="F450" s="12"/>
      <c r="H450" s="0" t="str">
        <f aca="false">IF(OR(B450="",F450=""),"",F450-ROW()/100000)</f>
        <v/>
      </c>
      <c r="I450" s="0" t="str">
        <f aca="false">IF(H450="","",C450&amp;"|"&amp;(COUNTIFS($C$2:$C$1000,C450,$H$2:$H$1000,"&gt;"&amp;H450)+1))</f>
        <v/>
      </c>
    </row>
    <row r="451" customFormat="false" ht="15" hidden="false" customHeight="false" outlineLevel="0" collapsed="false">
      <c r="A451" s="8" t="str">
        <f aca="false">IF(F451="","",COUNTIF($F$2:$F$1000,"&gt;"&amp;F451)+1)</f>
        <v/>
      </c>
      <c r="B451" s="9"/>
      <c r="C451" s="10"/>
      <c r="D451" s="11" t="str">
        <f aca="false">IF(C451="","",IFERROR(INDEX(Summary!$B$2:$B$14,MATCH(C451,Summary!$A$2:$A$14,0)),"?"))</f>
        <v/>
      </c>
      <c r="E451" s="11" t="str">
        <f aca="false">IF(C451="","",IFERROR(INDEX(Summary!$C$2:$C$14,MATCH(C451,Summary!$A$2:$A$14,0)),"?"))</f>
        <v/>
      </c>
      <c r="F451" s="12"/>
      <c r="H451" s="0" t="str">
        <f aca="false">IF(OR(B451="",F451=""),"",F451-ROW()/100000)</f>
        <v/>
      </c>
      <c r="I451" s="0" t="str">
        <f aca="false">IF(H451="","",C451&amp;"|"&amp;(COUNTIFS($C$2:$C$1000,C451,$H$2:$H$1000,"&gt;"&amp;H451)+1))</f>
        <v/>
      </c>
    </row>
    <row r="452" customFormat="false" ht="15" hidden="false" customHeight="false" outlineLevel="0" collapsed="false">
      <c r="A452" s="8" t="str">
        <f aca="false">IF(F452="","",COUNTIF($F$2:$F$1000,"&gt;"&amp;F452)+1)</f>
        <v/>
      </c>
      <c r="B452" s="9"/>
      <c r="C452" s="10"/>
      <c r="D452" s="11" t="str">
        <f aca="false">IF(C452="","",IFERROR(INDEX(Summary!$B$2:$B$14,MATCH(C452,Summary!$A$2:$A$14,0)),"?"))</f>
        <v/>
      </c>
      <c r="E452" s="11" t="str">
        <f aca="false">IF(C452="","",IFERROR(INDEX(Summary!$C$2:$C$14,MATCH(C452,Summary!$A$2:$A$14,0)),"?"))</f>
        <v/>
      </c>
      <c r="F452" s="12"/>
      <c r="H452" s="0" t="str">
        <f aca="false">IF(OR(B452="",F452=""),"",F452-ROW()/100000)</f>
        <v/>
      </c>
      <c r="I452" s="0" t="str">
        <f aca="false">IF(H452="","",C452&amp;"|"&amp;(COUNTIFS($C$2:$C$1000,C452,$H$2:$H$1000,"&gt;"&amp;H452)+1))</f>
        <v/>
      </c>
    </row>
    <row r="453" customFormat="false" ht="15" hidden="false" customHeight="false" outlineLevel="0" collapsed="false">
      <c r="A453" s="8" t="str">
        <f aca="false">IF(F453="","",COUNTIF($F$2:$F$1000,"&gt;"&amp;F453)+1)</f>
        <v/>
      </c>
      <c r="B453" s="9"/>
      <c r="C453" s="10"/>
      <c r="D453" s="11" t="str">
        <f aca="false">IF(C453="","",IFERROR(INDEX(Summary!$B$2:$B$14,MATCH(C453,Summary!$A$2:$A$14,0)),"?"))</f>
        <v/>
      </c>
      <c r="E453" s="11" t="str">
        <f aca="false">IF(C453="","",IFERROR(INDEX(Summary!$C$2:$C$14,MATCH(C453,Summary!$A$2:$A$14,0)),"?"))</f>
        <v/>
      </c>
      <c r="F453" s="12"/>
      <c r="H453" s="0" t="str">
        <f aca="false">IF(OR(B453="",F453=""),"",F453-ROW()/100000)</f>
        <v/>
      </c>
      <c r="I453" s="0" t="str">
        <f aca="false">IF(H453="","",C453&amp;"|"&amp;(COUNTIFS($C$2:$C$1000,C453,$H$2:$H$1000,"&gt;"&amp;H453)+1))</f>
        <v/>
      </c>
    </row>
    <row r="454" customFormat="false" ht="15" hidden="false" customHeight="false" outlineLevel="0" collapsed="false">
      <c r="A454" s="8" t="str">
        <f aca="false">IF(F454="","",COUNTIF($F$2:$F$1000,"&gt;"&amp;F454)+1)</f>
        <v/>
      </c>
      <c r="B454" s="9"/>
      <c r="C454" s="10"/>
      <c r="D454" s="11" t="str">
        <f aca="false">IF(C454="","",IFERROR(INDEX(Summary!$B$2:$B$14,MATCH(C454,Summary!$A$2:$A$14,0)),"?"))</f>
        <v/>
      </c>
      <c r="E454" s="11" t="str">
        <f aca="false">IF(C454="","",IFERROR(INDEX(Summary!$C$2:$C$14,MATCH(C454,Summary!$A$2:$A$14,0)),"?"))</f>
        <v/>
      </c>
      <c r="F454" s="12"/>
      <c r="H454" s="0" t="str">
        <f aca="false">IF(OR(B454="",F454=""),"",F454-ROW()/100000)</f>
        <v/>
      </c>
      <c r="I454" s="0" t="str">
        <f aca="false">IF(H454="","",C454&amp;"|"&amp;(COUNTIFS($C$2:$C$1000,C454,$H$2:$H$1000,"&gt;"&amp;H454)+1))</f>
        <v/>
      </c>
    </row>
    <row r="455" customFormat="false" ht="15" hidden="false" customHeight="false" outlineLevel="0" collapsed="false">
      <c r="A455" s="8" t="str">
        <f aca="false">IF(F455="","",COUNTIF($F$2:$F$1000,"&gt;"&amp;F455)+1)</f>
        <v/>
      </c>
      <c r="B455" s="9"/>
      <c r="C455" s="10"/>
      <c r="D455" s="11" t="str">
        <f aca="false">IF(C455="","",IFERROR(INDEX(Summary!$B$2:$B$14,MATCH(C455,Summary!$A$2:$A$14,0)),"?"))</f>
        <v/>
      </c>
      <c r="E455" s="11" t="str">
        <f aca="false">IF(C455="","",IFERROR(INDEX(Summary!$C$2:$C$14,MATCH(C455,Summary!$A$2:$A$14,0)),"?"))</f>
        <v/>
      </c>
      <c r="F455" s="12"/>
      <c r="H455" s="0" t="str">
        <f aca="false">IF(OR(B455="",F455=""),"",F455-ROW()/100000)</f>
        <v/>
      </c>
      <c r="I455" s="0" t="str">
        <f aca="false">IF(H455="","",C455&amp;"|"&amp;(COUNTIFS($C$2:$C$1000,C455,$H$2:$H$1000,"&gt;"&amp;H455)+1))</f>
        <v/>
      </c>
    </row>
    <row r="456" customFormat="false" ht="15" hidden="false" customHeight="false" outlineLevel="0" collapsed="false">
      <c r="A456" s="8" t="str">
        <f aca="false">IF(F456="","",COUNTIF($F$2:$F$1000,"&gt;"&amp;F456)+1)</f>
        <v/>
      </c>
      <c r="B456" s="9"/>
      <c r="C456" s="10"/>
      <c r="D456" s="11" t="str">
        <f aca="false">IF(C456="","",IFERROR(INDEX(Summary!$B$2:$B$14,MATCH(C456,Summary!$A$2:$A$14,0)),"?"))</f>
        <v/>
      </c>
      <c r="E456" s="11" t="str">
        <f aca="false">IF(C456="","",IFERROR(INDEX(Summary!$C$2:$C$14,MATCH(C456,Summary!$A$2:$A$14,0)),"?"))</f>
        <v/>
      </c>
      <c r="F456" s="12"/>
      <c r="H456" s="0" t="str">
        <f aca="false">IF(OR(B456="",F456=""),"",F456-ROW()/100000)</f>
        <v/>
      </c>
      <c r="I456" s="0" t="str">
        <f aca="false">IF(H456="","",C456&amp;"|"&amp;(COUNTIFS($C$2:$C$1000,C456,$H$2:$H$1000,"&gt;"&amp;H456)+1))</f>
        <v/>
      </c>
    </row>
    <row r="457" customFormat="false" ht="15" hidden="false" customHeight="false" outlineLevel="0" collapsed="false">
      <c r="A457" s="8" t="str">
        <f aca="false">IF(F457="","",COUNTIF($F$2:$F$1000,"&gt;"&amp;F457)+1)</f>
        <v/>
      </c>
      <c r="B457" s="9"/>
      <c r="C457" s="10"/>
      <c r="D457" s="11" t="str">
        <f aca="false">IF(C457="","",IFERROR(INDEX(Summary!$B$2:$B$14,MATCH(C457,Summary!$A$2:$A$14,0)),"?"))</f>
        <v/>
      </c>
      <c r="E457" s="11" t="str">
        <f aca="false">IF(C457="","",IFERROR(INDEX(Summary!$C$2:$C$14,MATCH(C457,Summary!$A$2:$A$14,0)),"?"))</f>
        <v/>
      </c>
      <c r="F457" s="12"/>
      <c r="H457" s="0" t="str">
        <f aca="false">IF(OR(B457="",F457=""),"",F457-ROW()/100000)</f>
        <v/>
      </c>
      <c r="I457" s="0" t="str">
        <f aca="false">IF(H457="","",C457&amp;"|"&amp;(COUNTIFS($C$2:$C$1000,C457,$H$2:$H$1000,"&gt;"&amp;H457)+1))</f>
        <v/>
      </c>
    </row>
    <row r="458" customFormat="false" ht="15" hidden="false" customHeight="false" outlineLevel="0" collapsed="false">
      <c r="A458" s="8" t="str">
        <f aca="false">IF(F458="","",COUNTIF($F$2:$F$1000,"&gt;"&amp;F458)+1)</f>
        <v/>
      </c>
      <c r="B458" s="9"/>
      <c r="C458" s="10"/>
      <c r="D458" s="11" t="str">
        <f aca="false">IF(C458="","",IFERROR(INDEX(Summary!$B$2:$B$14,MATCH(C458,Summary!$A$2:$A$14,0)),"?"))</f>
        <v/>
      </c>
      <c r="E458" s="11" t="str">
        <f aca="false">IF(C458="","",IFERROR(INDEX(Summary!$C$2:$C$14,MATCH(C458,Summary!$A$2:$A$14,0)),"?"))</f>
        <v/>
      </c>
      <c r="F458" s="12"/>
      <c r="H458" s="0" t="str">
        <f aca="false">IF(OR(B458="",F458=""),"",F458-ROW()/100000)</f>
        <v/>
      </c>
      <c r="I458" s="0" t="str">
        <f aca="false">IF(H458="","",C458&amp;"|"&amp;(COUNTIFS($C$2:$C$1000,C458,$H$2:$H$1000,"&gt;"&amp;H458)+1))</f>
        <v/>
      </c>
    </row>
    <row r="459" customFormat="false" ht="15" hidden="false" customHeight="false" outlineLevel="0" collapsed="false">
      <c r="A459" s="8" t="str">
        <f aca="false">IF(F459="","",COUNTIF($F$2:$F$1000,"&gt;"&amp;F459)+1)</f>
        <v/>
      </c>
      <c r="B459" s="9"/>
      <c r="C459" s="10"/>
      <c r="D459" s="11" t="str">
        <f aca="false">IF(C459="","",IFERROR(INDEX(Summary!$B$2:$B$14,MATCH(C459,Summary!$A$2:$A$14,0)),"?"))</f>
        <v/>
      </c>
      <c r="E459" s="11" t="str">
        <f aca="false">IF(C459="","",IFERROR(INDEX(Summary!$C$2:$C$14,MATCH(C459,Summary!$A$2:$A$14,0)),"?"))</f>
        <v/>
      </c>
      <c r="F459" s="12"/>
      <c r="H459" s="0" t="str">
        <f aca="false">IF(OR(B459="",F459=""),"",F459-ROW()/100000)</f>
        <v/>
      </c>
      <c r="I459" s="0" t="str">
        <f aca="false">IF(H459="","",C459&amp;"|"&amp;(COUNTIFS($C$2:$C$1000,C459,$H$2:$H$1000,"&gt;"&amp;H459)+1))</f>
        <v/>
      </c>
    </row>
    <row r="460" customFormat="false" ht="15" hidden="false" customHeight="false" outlineLevel="0" collapsed="false">
      <c r="A460" s="8" t="str">
        <f aca="false">IF(F460="","",COUNTIF($F$2:$F$1000,"&gt;"&amp;F460)+1)</f>
        <v/>
      </c>
      <c r="B460" s="9"/>
      <c r="C460" s="10"/>
      <c r="D460" s="11" t="str">
        <f aca="false">IF(C460="","",IFERROR(INDEX(Summary!$B$2:$B$14,MATCH(C460,Summary!$A$2:$A$14,0)),"?"))</f>
        <v/>
      </c>
      <c r="E460" s="11" t="str">
        <f aca="false">IF(C460="","",IFERROR(INDEX(Summary!$C$2:$C$14,MATCH(C460,Summary!$A$2:$A$14,0)),"?"))</f>
        <v/>
      </c>
      <c r="F460" s="12"/>
      <c r="H460" s="0" t="str">
        <f aca="false">IF(OR(B460="",F460=""),"",F460-ROW()/100000)</f>
        <v/>
      </c>
      <c r="I460" s="0" t="str">
        <f aca="false">IF(H460="","",C460&amp;"|"&amp;(COUNTIFS($C$2:$C$1000,C460,$H$2:$H$1000,"&gt;"&amp;H460)+1))</f>
        <v/>
      </c>
    </row>
    <row r="461" customFormat="false" ht="15" hidden="false" customHeight="false" outlineLevel="0" collapsed="false">
      <c r="A461" s="8" t="str">
        <f aca="false">IF(F461="","",COUNTIF($F$2:$F$1000,"&gt;"&amp;F461)+1)</f>
        <v/>
      </c>
      <c r="B461" s="9"/>
      <c r="C461" s="10"/>
      <c r="D461" s="11" t="str">
        <f aca="false">IF(C461="","",IFERROR(INDEX(Summary!$B$2:$B$14,MATCH(C461,Summary!$A$2:$A$14,0)),"?"))</f>
        <v/>
      </c>
      <c r="E461" s="11" t="str">
        <f aca="false">IF(C461="","",IFERROR(INDEX(Summary!$C$2:$C$14,MATCH(C461,Summary!$A$2:$A$14,0)),"?"))</f>
        <v/>
      </c>
      <c r="F461" s="12"/>
      <c r="H461" s="0" t="str">
        <f aca="false">IF(OR(B461="",F461=""),"",F461-ROW()/100000)</f>
        <v/>
      </c>
      <c r="I461" s="0" t="str">
        <f aca="false">IF(H461="","",C461&amp;"|"&amp;(COUNTIFS($C$2:$C$1000,C461,$H$2:$H$1000,"&gt;"&amp;H461)+1))</f>
        <v/>
      </c>
    </row>
    <row r="462" customFormat="false" ht="15" hidden="false" customHeight="false" outlineLevel="0" collapsed="false">
      <c r="A462" s="8" t="str">
        <f aca="false">IF(F462="","",COUNTIF($F$2:$F$1000,"&gt;"&amp;F462)+1)</f>
        <v/>
      </c>
      <c r="B462" s="9"/>
      <c r="C462" s="10"/>
      <c r="D462" s="11" t="str">
        <f aca="false">IF(C462="","",IFERROR(INDEX(Summary!$B$2:$B$14,MATCH(C462,Summary!$A$2:$A$14,0)),"?"))</f>
        <v/>
      </c>
      <c r="E462" s="11" t="str">
        <f aca="false">IF(C462="","",IFERROR(INDEX(Summary!$C$2:$C$14,MATCH(C462,Summary!$A$2:$A$14,0)),"?"))</f>
        <v/>
      </c>
      <c r="F462" s="12"/>
      <c r="H462" s="0" t="str">
        <f aca="false">IF(OR(B462="",F462=""),"",F462-ROW()/100000)</f>
        <v/>
      </c>
      <c r="I462" s="0" t="str">
        <f aca="false">IF(H462="","",C462&amp;"|"&amp;(COUNTIFS($C$2:$C$1000,C462,$H$2:$H$1000,"&gt;"&amp;H462)+1))</f>
        <v/>
      </c>
    </row>
    <row r="463" customFormat="false" ht="15" hidden="false" customHeight="false" outlineLevel="0" collapsed="false">
      <c r="A463" s="8" t="str">
        <f aca="false">IF(F463="","",COUNTIF($F$2:$F$1000,"&gt;"&amp;F463)+1)</f>
        <v/>
      </c>
      <c r="B463" s="9"/>
      <c r="C463" s="10"/>
      <c r="D463" s="11" t="str">
        <f aca="false">IF(C463="","",IFERROR(INDEX(Summary!$B$2:$B$14,MATCH(C463,Summary!$A$2:$A$14,0)),"?"))</f>
        <v/>
      </c>
      <c r="E463" s="11" t="str">
        <f aca="false">IF(C463="","",IFERROR(INDEX(Summary!$C$2:$C$14,MATCH(C463,Summary!$A$2:$A$14,0)),"?"))</f>
        <v/>
      </c>
      <c r="F463" s="12"/>
      <c r="H463" s="0" t="str">
        <f aca="false">IF(OR(B463="",F463=""),"",F463-ROW()/100000)</f>
        <v/>
      </c>
      <c r="I463" s="0" t="str">
        <f aca="false">IF(H463="","",C463&amp;"|"&amp;(COUNTIFS($C$2:$C$1000,C463,$H$2:$H$1000,"&gt;"&amp;H463)+1))</f>
        <v/>
      </c>
    </row>
    <row r="464" customFormat="false" ht="15" hidden="false" customHeight="false" outlineLevel="0" collapsed="false">
      <c r="A464" s="8" t="str">
        <f aca="false">IF(F464="","",COUNTIF($F$2:$F$1000,"&gt;"&amp;F464)+1)</f>
        <v/>
      </c>
      <c r="B464" s="9"/>
      <c r="C464" s="10"/>
      <c r="D464" s="11" t="str">
        <f aca="false">IF(C464="","",IFERROR(INDEX(Summary!$B$2:$B$14,MATCH(C464,Summary!$A$2:$A$14,0)),"?"))</f>
        <v/>
      </c>
      <c r="E464" s="11" t="str">
        <f aca="false">IF(C464="","",IFERROR(INDEX(Summary!$C$2:$C$14,MATCH(C464,Summary!$A$2:$A$14,0)),"?"))</f>
        <v/>
      </c>
      <c r="F464" s="12"/>
      <c r="H464" s="0" t="str">
        <f aca="false">IF(OR(B464="",F464=""),"",F464-ROW()/100000)</f>
        <v/>
      </c>
      <c r="I464" s="0" t="str">
        <f aca="false">IF(H464="","",C464&amp;"|"&amp;(COUNTIFS($C$2:$C$1000,C464,$H$2:$H$1000,"&gt;"&amp;H464)+1))</f>
        <v/>
      </c>
    </row>
    <row r="465" customFormat="false" ht="15" hidden="false" customHeight="false" outlineLevel="0" collapsed="false">
      <c r="A465" s="8" t="str">
        <f aca="false">IF(F465="","",COUNTIF($F$2:$F$1000,"&gt;"&amp;F465)+1)</f>
        <v/>
      </c>
      <c r="B465" s="9"/>
      <c r="C465" s="10"/>
      <c r="D465" s="11" t="str">
        <f aca="false">IF(C465="","",IFERROR(INDEX(Summary!$B$2:$B$14,MATCH(C465,Summary!$A$2:$A$14,0)),"?"))</f>
        <v/>
      </c>
      <c r="E465" s="11" t="str">
        <f aca="false">IF(C465="","",IFERROR(INDEX(Summary!$C$2:$C$14,MATCH(C465,Summary!$A$2:$A$14,0)),"?"))</f>
        <v/>
      </c>
      <c r="F465" s="12"/>
      <c r="H465" s="0" t="str">
        <f aca="false">IF(OR(B465="",F465=""),"",F465-ROW()/100000)</f>
        <v/>
      </c>
      <c r="I465" s="0" t="str">
        <f aca="false">IF(H465="","",C465&amp;"|"&amp;(COUNTIFS($C$2:$C$1000,C465,$H$2:$H$1000,"&gt;"&amp;H465)+1))</f>
        <v/>
      </c>
    </row>
    <row r="466" customFormat="false" ht="15" hidden="false" customHeight="false" outlineLevel="0" collapsed="false">
      <c r="A466" s="8" t="str">
        <f aca="false">IF(F466="","",COUNTIF($F$2:$F$1000,"&gt;"&amp;F466)+1)</f>
        <v/>
      </c>
      <c r="B466" s="9"/>
      <c r="C466" s="10"/>
      <c r="D466" s="11" t="str">
        <f aca="false">IF(C466="","",IFERROR(INDEX(Summary!$B$2:$B$14,MATCH(C466,Summary!$A$2:$A$14,0)),"?"))</f>
        <v/>
      </c>
      <c r="E466" s="11" t="str">
        <f aca="false">IF(C466="","",IFERROR(INDEX(Summary!$C$2:$C$14,MATCH(C466,Summary!$A$2:$A$14,0)),"?"))</f>
        <v/>
      </c>
      <c r="F466" s="12"/>
      <c r="H466" s="0" t="str">
        <f aca="false">IF(OR(B466="",F466=""),"",F466-ROW()/100000)</f>
        <v/>
      </c>
      <c r="I466" s="0" t="str">
        <f aca="false">IF(H466="","",C466&amp;"|"&amp;(COUNTIFS($C$2:$C$1000,C466,$H$2:$H$1000,"&gt;"&amp;H466)+1))</f>
        <v/>
      </c>
    </row>
    <row r="467" customFormat="false" ht="15" hidden="false" customHeight="false" outlineLevel="0" collapsed="false">
      <c r="A467" s="8" t="str">
        <f aca="false">IF(F467="","",COUNTIF($F$2:$F$1000,"&gt;"&amp;F467)+1)</f>
        <v/>
      </c>
      <c r="B467" s="9"/>
      <c r="C467" s="10"/>
      <c r="D467" s="11" t="str">
        <f aca="false">IF(C467="","",IFERROR(INDEX(Summary!$B$2:$B$14,MATCH(C467,Summary!$A$2:$A$14,0)),"?"))</f>
        <v/>
      </c>
      <c r="E467" s="11" t="str">
        <f aca="false">IF(C467="","",IFERROR(INDEX(Summary!$C$2:$C$14,MATCH(C467,Summary!$A$2:$A$14,0)),"?"))</f>
        <v/>
      </c>
      <c r="F467" s="12"/>
      <c r="H467" s="0" t="str">
        <f aca="false">IF(OR(B467="",F467=""),"",F467-ROW()/100000)</f>
        <v/>
      </c>
      <c r="I467" s="0" t="str">
        <f aca="false">IF(H467="","",C467&amp;"|"&amp;(COUNTIFS($C$2:$C$1000,C467,$H$2:$H$1000,"&gt;"&amp;H467)+1))</f>
        <v/>
      </c>
    </row>
    <row r="468" customFormat="false" ht="15" hidden="false" customHeight="false" outlineLevel="0" collapsed="false">
      <c r="A468" s="8" t="str">
        <f aca="false">IF(F468="","",COUNTIF($F$2:$F$1000,"&gt;"&amp;F468)+1)</f>
        <v/>
      </c>
      <c r="B468" s="9"/>
      <c r="C468" s="10"/>
      <c r="D468" s="11" t="str">
        <f aca="false">IF(C468="","",IFERROR(INDEX(Summary!$B$2:$B$14,MATCH(C468,Summary!$A$2:$A$14,0)),"?"))</f>
        <v/>
      </c>
      <c r="E468" s="11" t="str">
        <f aca="false">IF(C468="","",IFERROR(INDEX(Summary!$C$2:$C$14,MATCH(C468,Summary!$A$2:$A$14,0)),"?"))</f>
        <v/>
      </c>
      <c r="F468" s="12"/>
      <c r="H468" s="0" t="str">
        <f aca="false">IF(OR(B468="",F468=""),"",F468-ROW()/100000)</f>
        <v/>
      </c>
      <c r="I468" s="0" t="str">
        <f aca="false">IF(H468="","",C468&amp;"|"&amp;(COUNTIFS($C$2:$C$1000,C468,$H$2:$H$1000,"&gt;"&amp;H468)+1))</f>
        <v/>
      </c>
    </row>
    <row r="469" customFormat="false" ht="15" hidden="false" customHeight="false" outlineLevel="0" collapsed="false">
      <c r="A469" s="8" t="str">
        <f aca="false">IF(F469="","",COUNTIF($F$2:$F$1000,"&gt;"&amp;F469)+1)</f>
        <v/>
      </c>
      <c r="B469" s="9"/>
      <c r="C469" s="10"/>
      <c r="D469" s="11" t="str">
        <f aca="false">IF(C469="","",IFERROR(INDEX(Summary!$B$2:$B$14,MATCH(C469,Summary!$A$2:$A$14,0)),"?"))</f>
        <v/>
      </c>
      <c r="E469" s="11" t="str">
        <f aca="false">IF(C469="","",IFERROR(INDEX(Summary!$C$2:$C$14,MATCH(C469,Summary!$A$2:$A$14,0)),"?"))</f>
        <v/>
      </c>
      <c r="F469" s="12"/>
      <c r="H469" s="0" t="str">
        <f aca="false">IF(OR(B469="",F469=""),"",F469-ROW()/100000)</f>
        <v/>
      </c>
      <c r="I469" s="0" t="str">
        <f aca="false">IF(H469="","",C469&amp;"|"&amp;(COUNTIFS($C$2:$C$1000,C469,$H$2:$H$1000,"&gt;"&amp;H469)+1))</f>
        <v/>
      </c>
    </row>
    <row r="470" customFormat="false" ht="15" hidden="false" customHeight="false" outlineLevel="0" collapsed="false">
      <c r="A470" s="8" t="str">
        <f aca="false">IF(F470="","",COUNTIF($F$2:$F$1000,"&gt;"&amp;F470)+1)</f>
        <v/>
      </c>
      <c r="B470" s="9"/>
      <c r="C470" s="10"/>
      <c r="D470" s="11" t="str">
        <f aca="false">IF(C470="","",IFERROR(INDEX(Summary!$B$2:$B$14,MATCH(C470,Summary!$A$2:$A$14,0)),"?"))</f>
        <v/>
      </c>
      <c r="E470" s="11" t="str">
        <f aca="false">IF(C470="","",IFERROR(INDEX(Summary!$C$2:$C$14,MATCH(C470,Summary!$A$2:$A$14,0)),"?"))</f>
        <v/>
      </c>
      <c r="F470" s="12"/>
      <c r="H470" s="0" t="str">
        <f aca="false">IF(OR(B470="",F470=""),"",F470-ROW()/100000)</f>
        <v/>
      </c>
      <c r="I470" s="0" t="str">
        <f aca="false">IF(H470="","",C470&amp;"|"&amp;(COUNTIFS($C$2:$C$1000,C470,$H$2:$H$1000,"&gt;"&amp;H470)+1))</f>
        <v/>
      </c>
    </row>
    <row r="471" customFormat="false" ht="15" hidden="false" customHeight="false" outlineLevel="0" collapsed="false">
      <c r="A471" s="8" t="str">
        <f aca="false">IF(F471="","",COUNTIF($F$2:$F$1000,"&gt;"&amp;F471)+1)</f>
        <v/>
      </c>
      <c r="B471" s="9"/>
      <c r="C471" s="10"/>
      <c r="D471" s="11" t="str">
        <f aca="false">IF(C471="","",IFERROR(INDEX(Summary!$B$2:$B$14,MATCH(C471,Summary!$A$2:$A$14,0)),"?"))</f>
        <v/>
      </c>
      <c r="E471" s="11" t="str">
        <f aca="false">IF(C471="","",IFERROR(INDEX(Summary!$C$2:$C$14,MATCH(C471,Summary!$A$2:$A$14,0)),"?"))</f>
        <v/>
      </c>
      <c r="F471" s="12"/>
      <c r="H471" s="0" t="str">
        <f aca="false">IF(OR(B471="",F471=""),"",F471-ROW()/100000)</f>
        <v/>
      </c>
      <c r="I471" s="0" t="str">
        <f aca="false">IF(H471="","",C471&amp;"|"&amp;(COUNTIFS($C$2:$C$1000,C471,$H$2:$H$1000,"&gt;"&amp;H471)+1))</f>
        <v/>
      </c>
    </row>
    <row r="472" customFormat="false" ht="15" hidden="false" customHeight="false" outlineLevel="0" collapsed="false">
      <c r="A472" s="8" t="str">
        <f aca="false">IF(F472="","",COUNTIF($F$2:$F$1000,"&gt;"&amp;F472)+1)</f>
        <v/>
      </c>
      <c r="B472" s="9"/>
      <c r="C472" s="10"/>
      <c r="D472" s="11" t="str">
        <f aca="false">IF(C472="","",IFERROR(INDEX(Summary!$B$2:$B$14,MATCH(C472,Summary!$A$2:$A$14,0)),"?"))</f>
        <v/>
      </c>
      <c r="E472" s="11" t="str">
        <f aca="false">IF(C472="","",IFERROR(INDEX(Summary!$C$2:$C$14,MATCH(C472,Summary!$A$2:$A$14,0)),"?"))</f>
        <v/>
      </c>
      <c r="F472" s="12"/>
      <c r="H472" s="0" t="str">
        <f aca="false">IF(OR(B472="",F472=""),"",F472-ROW()/100000)</f>
        <v/>
      </c>
      <c r="I472" s="0" t="str">
        <f aca="false">IF(H472="","",C472&amp;"|"&amp;(COUNTIFS($C$2:$C$1000,C472,$H$2:$H$1000,"&gt;"&amp;H472)+1))</f>
        <v/>
      </c>
    </row>
    <row r="473" customFormat="false" ht="15" hidden="false" customHeight="false" outlineLevel="0" collapsed="false">
      <c r="A473" s="8" t="str">
        <f aca="false">IF(F473="","",COUNTIF($F$2:$F$1000,"&gt;"&amp;F473)+1)</f>
        <v/>
      </c>
      <c r="B473" s="9"/>
      <c r="C473" s="10"/>
      <c r="D473" s="11" t="str">
        <f aca="false">IF(C473="","",IFERROR(INDEX(Summary!$B$2:$B$14,MATCH(C473,Summary!$A$2:$A$14,0)),"?"))</f>
        <v/>
      </c>
      <c r="E473" s="11" t="str">
        <f aca="false">IF(C473="","",IFERROR(INDEX(Summary!$C$2:$C$14,MATCH(C473,Summary!$A$2:$A$14,0)),"?"))</f>
        <v/>
      </c>
      <c r="F473" s="12"/>
      <c r="H473" s="0" t="str">
        <f aca="false">IF(OR(B473="",F473=""),"",F473-ROW()/100000)</f>
        <v/>
      </c>
      <c r="I473" s="0" t="str">
        <f aca="false">IF(H473="","",C473&amp;"|"&amp;(COUNTIFS($C$2:$C$1000,C473,$H$2:$H$1000,"&gt;"&amp;H473)+1))</f>
        <v/>
      </c>
    </row>
    <row r="474" customFormat="false" ht="15" hidden="false" customHeight="false" outlineLevel="0" collapsed="false">
      <c r="A474" s="8" t="str">
        <f aca="false">IF(F474="","",COUNTIF($F$2:$F$1000,"&gt;"&amp;F474)+1)</f>
        <v/>
      </c>
      <c r="B474" s="9"/>
      <c r="C474" s="10"/>
      <c r="D474" s="11" t="str">
        <f aca="false">IF(C474="","",IFERROR(INDEX(Summary!$B$2:$B$14,MATCH(C474,Summary!$A$2:$A$14,0)),"?"))</f>
        <v/>
      </c>
      <c r="E474" s="11" t="str">
        <f aca="false">IF(C474="","",IFERROR(INDEX(Summary!$C$2:$C$14,MATCH(C474,Summary!$A$2:$A$14,0)),"?"))</f>
        <v/>
      </c>
      <c r="F474" s="12"/>
      <c r="H474" s="0" t="str">
        <f aca="false">IF(OR(B474="",F474=""),"",F474-ROW()/100000)</f>
        <v/>
      </c>
      <c r="I474" s="0" t="str">
        <f aca="false">IF(H474="","",C474&amp;"|"&amp;(COUNTIFS($C$2:$C$1000,C474,$H$2:$H$1000,"&gt;"&amp;H474)+1))</f>
        <v/>
      </c>
    </row>
    <row r="475" customFormat="false" ht="15" hidden="false" customHeight="false" outlineLevel="0" collapsed="false">
      <c r="A475" s="8" t="str">
        <f aca="false">IF(F475="","",COUNTIF($F$2:$F$1000,"&gt;"&amp;F475)+1)</f>
        <v/>
      </c>
      <c r="B475" s="9"/>
      <c r="C475" s="10"/>
      <c r="D475" s="11" t="str">
        <f aca="false">IF(C475="","",IFERROR(INDEX(Summary!$B$2:$B$14,MATCH(C475,Summary!$A$2:$A$14,0)),"?"))</f>
        <v/>
      </c>
      <c r="E475" s="11" t="str">
        <f aca="false">IF(C475="","",IFERROR(INDEX(Summary!$C$2:$C$14,MATCH(C475,Summary!$A$2:$A$14,0)),"?"))</f>
        <v/>
      </c>
      <c r="F475" s="12"/>
      <c r="H475" s="0" t="str">
        <f aca="false">IF(OR(B475="",F475=""),"",F475-ROW()/100000)</f>
        <v/>
      </c>
      <c r="I475" s="0" t="str">
        <f aca="false">IF(H475="","",C475&amp;"|"&amp;(COUNTIFS($C$2:$C$1000,C475,$H$2:$H$1000,"&gt;"&amp;H475)+1))</f>
        <v/>
      </c>
    </row>
    <row r="476" customFormat="false" ht="15" hidden="false" customHeight="false" outlineLevel="0" collapsed="false">
      <c r="A476" s="8" t="str">
        <f aca="false">IF(F476="","",COUNTIF($F$2:$F$1000,"&gt;"&amp;F476)+1)</f>
        <v/>
      </c>
      <c r="B476" s="9"/>
      <c r="C476" s="10"/>
      <c r="D476" s="11" t="str">
        <f aca="false">IF(C476="","",IFERROR(INDEX(Summary!$B$2:$B$14,MATCH(C476,Summary!$A$2:$A$14,0)),"?"))</f>
        <v/>
      </c>
      <c r="E476" s="11" t="str">
        <f aca="false">IF(C476="","",IFERROR(INDEX(Summary!$C$2:$C$14,MATCH(C476,Summary!$A$2:$A$14,0)),"?"))</f>
        <v/>
      </c>
      <c r="F476" s="12"/>
      <c r="H476" s="0" t="str">
        <f aca="false">IF(OR(B476="",F476=""),"",F476-ROW()/100000)</f>
        <v/>
      </c>
      <c r="I476" s="0" t="str">
        <f aca="false">IF(H476="","",C476&amp;"|"&amp;(COUNTIFS($C$2:$C$1000,C476,$H$2:$H$1000,"&gt;"&amp;H476)+1))</f>
        <v/>
      </c>
    </row>
    <row r="477" customFormat="false" ht="15" hidden="false" customHeight="false" outlineLevel="0" collapsed="false">
      <c r="A477" s="8" t="str">
        <f aca="false">IF(F477="","",COUNTIF($F$2:$F$1000,"&gt;"&amp;F477)+1)</f>
        <v/>
      </c>
      <c r="B477" s="9"/>
      <c r="C477" s="10"/>
      <c r="D477" s="11" t="str">
        <f aca="false">IF(C477="","",IFERROR(INDEX(Summary!$B$2:$B$14,MATCH(C477,Summary!$A$2:$A$14,0)),"?"))</f>
        <v/>
      </c>
      <c r="E477" s="11" t="str">
        <f aca="false">IF(C477="","",IFERROR(INDEX(Summary!$C$2:$C$14,MATCH(C477,Summary!$A$2:$A$14,0)),"?"))</f>
        <v/>
      </c>
      <c r="F477" s="12"/>
      <c r="H477" s="0" t="str">
        <f aca="false">IF(OR(B477="",F477=""),"",F477-ROW()/100000)</f>
        <v/>
      </c>
      <c r="I477" s="0" t="str">
        <f aca="false">IF(H477="","",C477&amp;"|"&amp;(COUNTIFS($C$2:$C$1000,C477,$H$2:$H$1000,"&gt;"&amp;H477)+1))</f>
        <v/>
      </c>
    </row>
    <row r="478" customFormat="false" ht="15" hidden="false" customHeight="false" outlineLevel="0" collapsed="false">
      <c r="A478" s="8" t="str">
        <f aca="false">IF(F478="","",COUNTIF($F$2:$F$1000,"&gt;"&amp;F478)+1)</f>
        <v/>
      </c>
      <c r="B478" s="9"/>
      <c r="C478" s="10"/>
      <c r="D478" s="11" t="str">
        <f aca="false">IF(C478="","",IFERROR(INDEX(Summary!$B$2:$B$14,MATCH(C478,Summary!$A$2:$A$14,0)),"?"))</f>
        <v/>
      </c>
      <c r="E478" s="11" t="str">
        <f aca="false">IF(C478="","",IFERROR(INDEX(Summary!$C$2:$C$14,MATCH(C478,Summary!$A$2:$A$14,0)),"?"))</f>
        <v/>
      </c>
      <c r="F478" s="12"/>
      <c r="H478" s="0" t="str">
        <f aca="false">IF(OR(B478="",F478=""),"",F478-ROW()/100000)</f>
        <v/>
      </c>
      <c r="I478" s="0" t="str">
        <f aca="false">IF(H478="","",C478&amp;"|"&amp;(COUNTIFS($C$2:$C$1000,C478,$H$2:$H$1000,"&gt;"&amp;H478)+1))</f>
        <v/>
      </c>
    </row>
    <row r="479" customFormat="false" ht="15" hidden="false" customHeight="false" outlineLevel="0" collapsed="false">
      <c r="A479" s="8" t="str">
        <f aca="false">IF(F479="","",COUNTIF($F$2:$F$1000,"&gt;"&amp;F479)+1)</f>
        <v/>
      </c>
      <c r="B479" s="9"/>
      <c r="C479" s="10"/>
      <c r="D479" s="11" t="str">
        <f aca="false">IF(C479="","",IFERROR(INDEX(Summary!$B$2:$B$14,MATCH(C479,Summary!$A$2:$A$14,0)),"?"))</f>
        <v/>
      </c>
      <c r="E479" s="11" t="str">
        <f aca="false">IF(C479="","",IFERROR(INDEX(Summary!$C$2:$C$14,MATCH(C479,Summary!$A$2:$A$14,0)),"?"))</f>
        <v/>
      </c>
      <c r="F479" s="12"/>
      <c r="H479" s="0" t="str">
        <f aca="false">IF(OR(B479="",F479=""),"",F479-ROW()/100000)</f>
        <v/>
      </c>
      <c r="I479" s="0" t="str">
        <f aca="false">IF(H479="","",C479&amp;"|"&amp;(COUNTIFS($C$2:$C$1000,C479,$H$2:$H$1000,"&gt;"&amp;H479)+1))</f>
        <v/>
      </c>
    </row>
    <row r="480" customFormat="false" ht="15" hidden="false" customHeight="false" outlineLevel="0" collapsed="false">
      <c r="A480" s="8" t="str">
        <f aca="false">IF(F480="","",COUNTIF($F$2:$F$1000,"&gt;"&amp;F480)+1)</f>
        <v/>
      </c>
      <c r="B480" s="9"/>
      <c r="C480" s="10"/>
      <c r="D480" s="11" t="str">
        <f aca="false">IF(C480="","",IFERROR(INDEX(Summary!$B$2:$B$14,MATCH(C480,Summary!$A$2:$A$14,0)),"?"))</f>
        <v/>
      </c>
      <c r="E480" s="11" t="str">
        <f aca="false">IF(C480="","",IFERROR(INDEX(Summary!$C$2:$C$14,MATCH(C480,Summary!$A$2:$A$14,0)),"?"))</f>
        <v/>
      </c>
      <c r="F480" s="12"/>
      <c r="H480" s="0" t="str">
        <f aca="false">IF(OR(B480="",F480=""),"",F480-ROW()/100000)</f>
        <v/>
      </c>
      <c r="I480" s="0" t="str">
        <f aca="false">IF(H480="","",C480&amp;"|"&amp;(COUNTIFS($C$2:$C$1000,C480,$H$2:$H$1000,"&gt;"&amp;H480)+1))</f>
        <v/>
      </c>
    </row>
    <row r="481" customFormat="false" ht="15" hidden="false" customHeight="false" outlineLevel="0" collapsed="false">
      <c r="A481" s="8" t="str">
        <f aca="false">IF(F481="","",COUNTIF($F$2:$F$1000,"&gt;"&amp;F481)+1)</f>
        <v/>
      </c>
      <c r="B481" s="9"/>
      <c r="C481" s="10"/>
      <c r="D481" s="11" t="str">
        <f aca="false">IF(C481="","",IFERROR(INDEX(Summary!$B$2:$B$14,MATCH(C481,Summary!$A$2:$A$14,0)),"?"))</f>
        <v/>
      </c>
      <c r="E481" s="11" t="str">
        <f aca="false">IF(C481="","",IFERROR(INDEX(Summary!$C$2:$C$14,MATCH(C481,Summary!$A$2:$A$14,0)),"?"))</f>
        <v/>
      </c>
      <c r="F481" s="12"/>
      <c r="H481" s="0" t="str">
        <f aca="false">IF(OR(B481="",F481=""),"",F481-ROW()/100000)</f>
        <v/>
      </c>
      <c r="I481" s="0" t="str">
        <f aca="false">IF(H481="","",C481&amp;"|"&amp;(COUNTIFS($C$2:$C$1000,C481,$H$2:$H$1000,"&gt;"&amp;H481)+1))</f>
        <v/>
      </c>
    </row>
    <row r="482" customFormat="false" ht="15" hidden="false" customHeight="false" outlineLevel="0" collapsed="false">
      <c r="A482" s="8" t="str">
        <f aca="false">IF(F482="","",COUNTIF($F$2:$F$1000,"&gt;"&amp;F482)+1)</f>
        <v/>
      </c>
      <c r="B482" s="9"/>
      <c r="C482" s="10"/>
      <c r="D482" s="11" t="str">
        <f aca="false">IF(C482="","",IFERROR(INDEX(Summary!$B$2:$B$14,MATCH(C482,Summary!$A$2:$A$14,0)),"?"))</f>
        <v/>
      </c>
      <c r="E482" s="11" t="str">
        <f aca="false">IF(C482="","",IFERROR(INDEX(Summary!$C$2:$C$14,MATCH(C482,Summary!$A$2:$A$14,0)),"?"))</f>
        <v/>
      </c>
      <c r="F482" s="12"/>
      <c r="H482" s="0" t="str">
        <f aca="false">IF(OR(B482="",F482=""),"",F482-ROW()/100000)</f>
        <v/>
      </c>
      <c r="I482" s="0" t="str">
        <f aca="false">IF(H482="","",C482&amp;"|"&amp;(COUNTIFS($C$2:$C$1000,C482,$H$2:$H$1000,"&gt;"&amp;H482)+1))</f>
        <v/>
      </c>
    </row>
    <row r="483" customFormat="false" ht="15" hidden="false" customHeight="false" outlineLevel="0" collapsed="false">
      <c r="A483" s="8" t="str">
        <f aca="false">IF(F483="","",COUNTIF($F$2:$F$1000,"&gt;"&amp;F483)+1)</f>
        <v/>
      </c>
      <c r="B483" s="9"/>
      <c r="C483" s="10"/>
      <c r="D483" s="11" t="str">
        <f aca="false">IF(C483="","",IFERROR(INDEX(Summary!$B$2:$B$14,MATCH(C483,Summary!$A$2:$A$14,0)),"?"))</f>
        <v/>
      </c>
      <c r="E483" s="11" t="str">
        <f aca="false">IF(C483="","",IFERROR(INDEX(Summary!$C$2:$C$14,MATCH(C483,Summary!$A$2:$A$14,0)),"?"))</f>
        <v/>
      </c>
      <c r="F483" s="12"/>
      <c r="H483" s="0" t="str">
        <f aca="false">IF(OR(B483="",F483=""),"",F483-ROW()/100000)</f>
        <v/>
      </c>
      <c r="I483" s="0" t="str">
        <f aca="false">IF(H483="","",C483&amp;"|"&amp;(COUNTIFS($C$2:$C$1000,C483,$H$2:$H$1000,"&gt;"&amp;H483)+1))</f>
        <v/>
      </c>
    </row>
    <row r="484" customFormat="false" ht="15" hidden="false" customHeight="false" outlineLevel="0" collapsed="false">
      <c r="A484" s="8" t="str">
        <f aca="false">IF(F484="","",COUNTIF($F$2:$F$1000,"&gt;"&amp;F484)+1)</f>
        <v/>
      </c>
      <c r="B484" s="9"/>
      <c r="C484" s="10"/>
      <c r="D484" s="11" t="str">
        <f aca="false">IF(C484="","",IFERROR(INDEX(Summary!$B$2:$B$14,MATCH(C484,Summary!$A$2:$A$14,0)),"?"))</f>
        <v/>
      </c>
      <c r="E484" s="11" t="str">
        <f aca="false">IF(C484="","",IFERROR(INDEX(Summary!$C$2:$C$14,MATCH(C484,Summary!$A$2:$A$14,0)),"?"))</f>
        <v/>
      </c>
      <c r="F484" s="12"/>
      <c r="H484" s="0" t="str">
        <f aca="false">IF(OR(B484="",F484=""),"",F484-ROW()/100000)</f>
        <v/>
      </c>
      <c r="I484" s="0" t="str">
        <f aca="false">IF(H484="","",C484&amp;"|"&amp;(COUNTIFS($C$2:$C$1000,C484,$H$2:$H$1000,"&gt;"&amp;H484)+1))</f>
        <v/>
      </c>
    </row>
    <row r="485" customFormat="false" ht="15" hidden="false" customHeight="false" outlineLevel="0" collapsed="false">
      <c r="A485" s="8" t="str">
        <f aca="false">IF(F485="","",COUNTIF($F$2:$F$1000,"&gt;"&amp;F485)+1)</f>
        <v/>
      </c>
      <c r="B485" s="9"/>
      <c r="C485" s="10"/>
      <c r="D485" s="11" t="str">
        <f aca="false">IF(C485="","",IFERROR(INDEX(Summary!$B$2:$B$14,MATCH(C485,Summary!$A$2:$A$14,0)),"?"))</f>
        <v/>
      </c>
      <c r="E485" s="11" t="str">
        <f aca="false">IF(C485="","",IFERROR(INDEX(Summary!$C$2:$C$14,MATCH(C485,Summary!$A$2:$A$14,0)),"?"))</f>
        <v/>
      </c>
      <c r="F485" s="12"/>
      <c r="H485" s="0" t="str">
        <f aca="false">IF(OR(B485="",F485=""),"",F485-ROW()/100000)</f>
        <v/>
      </c>
      <c r="I485" s="0" t="str">
        <f aca="false">IF(H485="","",C485&amp;"|"&amp;(COUNTIFS($C$2:$C$1000,C485,$H$2:$H$1000,"&gt;"&amp;H485)+1))</f>
        <v/>
      </c>
    </row>
    <row r="486" customFormat="false" ht="15" hidden="false" customHeight="false" outlineLevel="0" collapsed="false">
      <c r="A486" s="8" t="str">
        <f aca="false">IF(F486="","",COUNTIF($F$2:$F$1000,"&gt;"&amp;F486)+1)</f>
        <v/>
      </c>
      <c r="B486" s="9"/>
      <c r="C486" s="10"/>
      <c r="D486" s="11" t="str">
        <f aca="false">IF(C486="","",IFERROR(INDEX(Summary!$B$2:$B$14,MATCH(C486,Summary!$A$2:$A$14,0)),"?"))</f>
        <v/>
      </c>
      <c r="E486" s="11" t="str">
        <f aca="false">IF(C486="","",IFERROR(INDEX(Summary!$C$2:$C$14,MATCH(C486,Summary!$A$2:$A$14,0)),"?"))</f>
        <v/>
      </c>
      <c r="F486" s="12"/>
      <c r="H486" s="0" t="str">
        <f aca="false">IF(OR(B486="",F486=""),"",F486-ROW()/100000)</f>
        <v/>
      </c>
      <c r="I486" s="0" t="str">
        <f aca="false">IF(H486="","",C486&amp;"|"&amp;(COUNTIFS($C$2:$C$1000,C486,$H$2:$H$1000,"&gt;"&amp;H486)+1))</f>
        <v/>
      </c>
    </row>
    <row r="487" customFormat="false" ht="15" hidden="false" customHeight="false" outlineLevel="0" collapsed="false">
      <c r="A487" s="8" t="str">
        <f aca="false">IF(F487="","",COUNTIF($F$2:$F$1000,"&gt;"&amp;F487)+1)</f>
        <v/>
      </c>
      <c r="B487" s="9"/>
      <c r="C487" s="10"/>
      <c r="D487" s="11" t="str">
        <f aca="false">IF(C487="","",IFERROR(INDEX(Summary!$B$2:$B$14,MATCH(C487,Summary!$A$2:$A$14,0)),"?"))</f>
        <v/>
      </c>
      <c r="E487" s="11" t="str">
        <f aca="false">IF(C487="","",IFERROR(INDEX(Summary!$C$2:$C$14,MATCH(C487,Summary!$A$2:$A$14,0)),"?"))</f>
        <v/>
      </c>
      <c r="F487" s="12"/>
      <c r="H487" s="0" t="str">
        <f aca="false">IF(OR(B487="",F487=""),"",F487-ROW()/100000)</f>
        <v/>
      </c>
      <c r="I487" s="0" t="str">
        <f aca="false">IF(H487="","",C487&amp;"|"&amp;(COUNTIFS($C$2:$C$1000,C487,$H$2:$H$1000,"&gt;"&amp;H487)+1))</f>
        <v/>
      </c>
    </row>
    <row r="488" customFormat="false" ht="15" hidden="false" customHeight="false" outlineLevel="0" collapsed="false">
      <c r="A488" s="8" t="str">
        <f aca="false">IF(F488="","",COUNTIF($F$2:$F$1000,"&gt;"&amp;F488)+1)</f>
        <v/>
      </c>
      <c r="B488" s="9"/>
      <c r="C488" s="10"/>
      <c r="D488" s="11" t="str">
        <f aca="false">IF(C488="","",IFERROR(INDEX(Summary!$B$2:$B$14,MATCH(C488,Summary!$A$2:$A$14,0)),"?"))</f>
        <v/>
      </c>
      <c r="E488" s="11" t="str">
        <f aca="false">IF(C488="","",IFERROR(INDEX(Summary!$C$2:$C$14,MATCH(C488,Summary!$A$2:$A$14,0)),"?"))</f>
        <v/>
      </c>
      <c r="F488" s="12"/>
      <c r="H488" s="0" t="str">
        <f aca="false">IF(OR(B488="",F488=""),"",F488-ROW()/100000)</f>
        <v/>
      </c>
      <c r="I488" s="0" t="str">
        <f aca="false">IF(H488="","",C488&amp;"|"&amp;(COUNTIFS($C$2:$C$1000,C488,$H$2:$H$1000,"&gt;"&amp;H488)+1))</f>
        <v/>
      </c>
    </row>
    <row r="489" customFormat="false" ht="15" hidden="false" customHeight="false" outlineLevel="0" collapsed="false">
      <c r="A489" s="8" t="str">
        <f aca="false">IF(F489="","",COUNTIF($F$2:$F$1000,"&gt;"&amp;F489)+1)</f>
        <v/>
      </c>
      <c r="B489" s="9"/>
      <c r="C489" s="10"/>
      <c r="D489" s="11" t="str">
        <f aca="false">IF(C489="","",IFERROR(INDEX(Summary!$B$2:$B$14,MATCH(C489,Summary!$A$2:$A$14,0)),"?"))</f>
        <v/>
      </c>
      <c r="E489" s="11" t="str">
        <f aca="false">IF(C489="","",IFERROR(INDEX(Summary!$C$2:$C$14,MATCH(C489,Summary!$A$2:$A$14,0)),"?"))</f>
        <v/>
      </c>
      <c r="F489" s="12"/>
      <c r="H489" s="0" t="str">
        <f aca="false">IF(OR(B489="",F489=""),"",F489-ROW()/100000)</f>
        <v/>
      </c>
      <c r="I489" s="0" t="str">
        <f aca="false">IF(H489="","",C489&amp;"|"&amp;(COUNTIFS($C$2:$C$1000,C489,$H$2:$H$1000,"&gt;"&amp;H489)+1))</f>
        <v/>
      </c>
    </row>
    <row r="490" customFormat="false" ht="15" hidden="false" customHeight="false" outlineLevel="0" collapsed="false">
      <c r="A490" s="8" t="str">
        <f aca="false">IF(F490="","",COUNTIF($F$2:$F$1000,"&gt;"&amp;F490)+1)</f>
        <v/>
      </c>
      <c r="B490" s="9"/>
      <c r="C490" s="10"/>
      <c r="D490" s="11" t="str">
        <f aca="false">IF(C490="","",IFERROR(INDEX(Summary!$B$2:$B$14,MATCH(C490,Summary!$A$2:$A$14,0)),"?"))</f>
        <v/>
      </c>
      <c r="E490" s="11" t="str">
        <f aca="false">IF(C490="","",IFERROR(INDEX(Summary!$C$2:$C$14,MATCH(C490,Summary!$A$2:$A$14,0)),"?"))</f>
        <v/>
      </c>
      <c r="F490" s="12"/>
      <c r="H490" s="0" t="str">
        <f aca="false">IF(OR(B490="",F490=""),"",F490-ROW()/100000)</f>
        <v/>
      </c>
      <c r="I490" s="0" t="str">
        <f aca="false">IF(H490="","",C490&amp;"|"&amp;(COUNTIFS($C$2:$C$1000,C490,$H$2:$H$1000,"&gt;"&amp;H490)+1))</f>
        <v/>
      </c>
    </row>
    <row r="491" customFormat="false" ht="15" hidden="false" customHeight="false" outlineLevel="0" collapsed="false">
      <c r="A491" s="8" t="str">
        <f aca="false">IF(F491="","",COUNTIF($F$2:$F$1000,"&gt;"&amp;F491)+1)</f>
        <v/>
      </c>
      <c r="B491" s="9"/>
      <c r="C491" s="10"/>
      <c r="D491" s="11" t="str">
        <f aca="false">IF(C491="","",IFERROR(INDEX(Summary!$B$2:$B$14,MATCH(C491,Summary!$A$2:$A$14,0)),"?"))</f>
        <v/>
      </c>
      <c r="E491" s="11" t="str">
        <f aca="false">IF(C491="","",IFERROR(INDEX(Summary!$C$2:$C$14,MATCH(C491,Summary!$A$2:$A$14,0)),"?"))</f>
        <v/>
      </c>
      <c r="F491" s="12"/>
      <c r="H491" s="0" t="str">
        <f aca="false">IF(OR(B491="",F491=""),"",F491-ROW()/100000)</f>
        <v/>
      </c>
      <c r="I491" s="0" t="str">
        <f aca="false">IF(H491="","",C491&amp;"|"&amp;(COUNTIFS($C$2:$C$1000,C491,$H$2:$H$1000,"&gt;"&amp;H491)+1))</f>
        <v/>
      </c>
    </row>
    <row r="492" customFormat="false" ht="15" hidden="false" customHeight="false" outlineLevel="0" collapsed="false">
      <c r="A492" s="8" t="str">
        <f aca="false">IF(F492="","",COUNTIF($F$2:$F$1000,"&gt;"&amp;F492)+1)</f>
        <v/>
      </c>
      <c r="B492" s="9"/>
      <c r="C492" s="10"/>
      <c r="D492" s="11" t="str">
        <f aca="false">IF(C492="","",IFERROR(INDEX(Summary!$B$2:$B$14,MATCH(C492,Summary!$A$2:$A$14,0)),"?"))</f>
        <v/>
      </c>
      <c r="E492" s="11" t="str">
        <f aca="false">IF(C492="","",IFERROR(INDEX(Summary!$C$2:$C$14,MATCH(C492,Summary!$A$2:$A$14,0)),"?"))</f>
        <v/>
      </c>
      <c r="F492" s="12"/>
      <c r="H492" s="0" t="str">
        <f aca="false">IF(OR(B492="",F492=""),"",F492-ROW()/100000)</f>
        <v/>
      </c>
      <c r="I492" s="0" t="str">
        <f aca="false">IF(H492="","",C492&amp;"|"&amp;(COUNTIFS($C$2:$C$1000,C492,$H$2:$H$1000,"&gt;"&amp;H492)+1))</f>
        <v/>
      </c>
    </row>
    <row r="493" customFormat="false" ht="15" hidden="false" customHeight="false" outlineLevel="0" collapsed="false">
      <c r="A493" s="8" t="str">
        <f aca="false">IF(F493="","",COUNTIF($F$2:$F$1000,"&gt;"&amp;F493)+1)</f>
        <v/>
      </c>
      <c r="B493" s="9"/>
      <c r="C493" s="10"/>
      <c r="D493" s="11" t="str">
        <f aca="false">IF(C493="","",IFERROR(INDEX(Summary!$B$2:$B$14,MATCH(C493,Summary!$A$2:$A$14,0)),"?"))</f>
        <v/>
      </c>
      <c r="E493" s="11" t="str">
        <f aca="false">IF(C493="","",IFERROR(INDEX(Summary!$C$2:$C$14,MATCH(C493,Summary!$A$2:$A$14,0)),"?"))</f>
        <v/>
      </c>
      <c r="F493" s="12"/>
      <c r="H493" s="0" t="str">
        <f aca="false">IF(OR(B493="",F493=""),"",F493-ROW()/100000)</f>
        <v/>
      </c>
      <c r="I493" s="0" t="str">
        <f aca="false">IF(H493="","",C493&amp;"|"&amp;(COUNTIFS($C$2:$C$1000,C493,$H$2:$H$1000,"&gt;"&amp;H493)+1))</f>
        <v/>
      </c>
    </row>
    <row r="494" customFormat="false" ht="15" hidden="false" customHeight="false" outlineLevel="0" collapsed="false">
      <c r="A494" s="8" t="str">
        <f aca="false">IF(F494="","",COUNTIF($F$2:$F$1000,"&gt;"&amp;F494)+1)</f>
        <v/>
      </c>
      <c r="B494" s="9"/>
      <c r="C494" s="10"/>
      <c r="D494" s="11" t="str">
        <f aca="false">IF(C494="","",IFERROR(INDEX(Summary!$B$2:$B$14,MATCH(C494,Summary!$A$2:$A$14,0)),"?"))</f>
        <v/>
      </c>
      <c r="E494" s="11" t="str">
        <f aca="false">IF(C494="","",IFERROR(INDEX(Summary!$C$2:$C$14,MATCH(C494,Summary!$A$2:$A$14,0)),"?"))</f>
        <v/>
      </c>
      <c r="F494" s="12"/>
      <c r="H494" s="0" t="str">
        <f aca="false">IF(OR(B494="",F494=""),"",F494-ROW()/100000)</f>
        <v/>
      </c>
      <c r="I494" s="0" t="str">
        <f aca="false">IF(H494="","",C494&amp;"|"&amp;(COUNTIFS($C$2:$C$1000,C494,$H$2:$H$1000,"&gt;"&amp;H494)+1))</f>
        <v/>
      </c>
    </row>
    <row r="495" customFormat="false" ht="15" hidden="false" customHeight="false" outlineLevel="0" collapsed="false">
      <c r="A495" s="8" t="str">
        <f aca="false">IF(F495="","",COUNTIF($F$2:$F$1000,"&gt;"&amp;F495)+1)</f>
        <v/>
      </c>
      <c r="B495" s="9"/>
      <c r="C495" s="10"/>
      <c r="D495" s="11" t="str">
        <f aca="false">IF(C495="","",IFERROR(INDEX(Summary!$B$2:$B$14,MATCH(C495,Summary!$A$2:$A$14,0)),"?"))</f>
        <v/>
      </c>
      <c r="E495" s="11" t="str">
        <f aca="false">IF(C495="","",IFERROR(INDEX(Summary!$C$2:$C$14,MATCH(C495,Summary!$A$2:$A$14,0)),"?"))</f>
        <v/>
      </c>
      <c r="F495" s="12"/>
      <c r="H495" s="0" t="str">
        <f aca="false">IF(OR(B495="",F495=""),"",F495-ROW()/100000)</f>
        <v/>
      </c>
      <c r="I495" s="0" t="str">
        <f aca="false">IF(H495="","",C495&amp;"|"&amp;(COUNTIFS($C$2:$C$1000,C495,$H$2:$H$1000,"&gt;"&amp;H495)+1))</f>
        <v/>
      </c>
    </row>
    <row r="496" customFormat="false" ht="15" hidden="false" customHeight="false" outlineLevel="0" collapsed="false">
      <c r="A496" s="8" t="str">
        <f aca="false">IF(F496="","",COUNTIF($F$2:$F$1000,"&gt;"&amp;F496)+1)</f>
        <v/>
      </c>
      <c r="B496" s="9"/>
      <c r="C496" s="10"/>
      <c r="D496" s="11" t="str">
        <f aca="false">IF(C496="","",IFERROR(INDEX(Summary!$B$2:$B$14,MATCH(C496,Summary!$A$2:$A$14,0)),"?"))</f>
        <v/>
      </c>
      <c r="E496" s="11" t="str">
        <f aca="false">IF(C496="","",IFERROR(INDEX(Summary!$C$2:$C$14,MATCH(C496,Summary!$A$2:$A$14,0)),"?"))</f>
        <v/>
      </c>
      <c r="F496" s="12"/>
      <c r="H496" s="0" t="str">
        <f aca="false">IF(OR(B496="",F496=""),"",F496-ROW()/100000)</f>
        <v/>
      </c>
      <c r="I496" s="0" t="str">
        <f aca="false">IF(H496="","",C496&amp;"|"&amp;(COUNTIFS($C$2:$C$1000,C496,$H$2:$H$1000,"&gt;"&amp;H496)+1))</f>
        <v/>
      </c>
    </row>
    <row r="497" customFormat="false" ht="15" hidden="false" customHeight="false" outlineLevel="0" collapsed="false">
      <c r="A497" s="8" t="str">
        <f aca="false">IF(F497="","",COUNTIF($F$2:$F$1000,"&gt;"&amp;F497)+1)</f>
        <v/>
      </c>
      <c r="B497" s="9"/>
      <c r="C497" s="10"/>
      <c r="D497" s="11" t="str">
        <f aca="false">IF(C497="","",IFERROR(INDEX(Summary!$B$2:$B$14,MATCH(C497,Summary!$A$2:$A$14,0)),"?"))</f>
        <v/>
      </c>
      <c r="E497" s="11" t="str">
        <f aca="false">IF(C497="","",IFERROR(INDEX(Summary!$C$2:$C$14,MATCH(C497,Summary!$A$2:$A$14,0)),"?"))</f>
        <v/>
      </c>
      <c r="F497" s="12"/>
      <c r="H497" s="0" t="str">
        <f aca="false">IF(OR(B497="",F497=""),"",F497-ROW()/100000)</f>
        <v/>
      </c>
      <c r="I497" s="0" t="str">
        <f aca="false">IF(H497="","",C497&amp;"|"&amp;(COUNTIFS($C$2:$C$1000,C497,$H$2:$H$1000,"&gt;"&amp;H497)+1))</f>
        <v/>
      </c>
    </row>
    <row r="498" customFormat="false" ht="15" hidden="false" customHeight="false" outlineLevel="0" collapsed="false">
      <c r="A498" s="8" t="str">
        <f aca="false">IF(F498="","",COUNTIF($F$2:$F$1000,"&gt;"&amp;F498)+1)</f>
        <v/>
      </c>
      <c r="B498" s="9"/>
      <c r="C498" s="10"/>
      <c r="D498" s="11" t="str">
        <f aca="false">IF(C498="","",IFERROR(INDEX(Summary!$B$2:$B$14,MATCH(C498,Summary!$A$2:$A$14,0)),"?"))</f>
        <v/>
      </c>
      <c r="E498" s="11" t="str">
        <f aca="false">IF(C498="","",IFERROR(INDEX(Summary!$C$2:$C$14,MATCH(C498,Summary!$A$2:$A$14,0)),"?"))</f>
        <v/>
      </c>
      <c r="F498" s="12"/>
      <c r="H498" s="0" t="str">
        <f aca="false">IF(OR(B498="",F498=""),"",F498-ROW()/100000)</f>
        <v/>
      </c>
      <c r="I498" s="0" t="str">
        <f aca="false">IF(H498="","",C498&amp;"|"&amp;(COUNTIFS($C$2:$C$1000,C498,$H$2:$H$1000,"&gt;"&amp;H498)+1))</f>
        <v/>
      </c>
    </row>
    <row r="499" customFormat="false" ht="15" hidden="false" customHeight="false" outlineLevel="0" collapsed="false">
      <c r="A499" s="8" t="str">
        <f aca="false">IF(F499="","",COUNTIF($F$2:$F$1000,"&gt;"&amp;F499)+1)</f>
        <v/>
      </c>
      <c r="B499" s="9"/>
      <c r="C499" s="10"/>
      <c r="D499" s="11" t="str">
        <f aca="false">IF(C499="","",IFERROR(INDEX(Summary!$B$2:$B$14,MATCH(C499,Summary!$A$2:$A$14,0)),"?"))</f>
        <v/>
      </c>
      <c r="E499" s="11" t="str">
        <f aca="false">IF(C499="","",IFERROR(INDEX(Summary!$C$2:$C$14,MATCH(C499,Summary!$A$2:$A$14,0)),"?"))</f>
        <v/>
      </c>
      <c r="F499" s="12"/>
      <c r="H499" s="0" t="str">
        <f aca="false">IF(OR(B499="",F499=""),"",F499-ROW()/100000)</f>
        <v/>
      </c>
      <c r="I499" s="0" t="str">
        <f aca="false">IF(H499="","",C499&amp;"|"&amp;(COUNTIFS($C$2:$C$1000,C499,$H$2:$H$1000,"&gt;"&amp;H499)+1))</f>
        <v/>
      </c>
    </row>
    <row r="500" customFormat="false" ht="15" hidden="false" customHeight="false" outlineLevel="0" collapsed="false">
      <c r="A500" s="8" t="str">
        <f aca="false">IF(F500="","",COUNTIF($F$2:$F$1000,"&gt;"&amp;F500)+1)</f>
        <v/>
      </c>
      <c r="B500" s="9"/>
      <c r="C500" s="10"/>
      <c r="D500" s="11" t="str">
        <f aca="false">IF(C500="","",IFERROR(INDEX(Summary!$B$2:$B$14,MATCH(C500,Summary!$A$2:$A$14,0)),"?"))</f>
        <v/>
      </c>
      <c r="E500" s="11" t="str">
        <f aca="false">IF(C500="","",IFERROR(INDEX(Summary!$C$2:$C$14,MATCH(C500,Summary!$A$2:$A$14,0)),"?"))</f>
        <v/>
      </c>
      <c r="F500" s="12"/>
      <c r="H500" s="0" t="str">
        <f aca="false">IF(OR(B500="",F500=""),"",F500-ROW()/100000)</f>
        <v/>
      </c>
      <c r="I500" s="0" t="str">
        <f aca="false">IF(H500="","",C500&amp;"|"&amp;(COUNTIFS($C$2:$C$1000,C500,$H$2:$H$1000,"&gt;"&amp;H500)+1))</f>
        <v/>
      </c>
    </row>
    <row r="501" customFormat="false" ht="15" hidden="false" customHeight="false" outlineLevel="0" collapsed="false">
      <c r="A501" s="8" t="str">
        <f aca="false">IF(F501="","",COUNTIF($F$2:$F$1000,"&gt;"&amp;F501)+1)</f>
        <v/>
      </c>
      <c r="B501" s="9"/>
      <c r="C501" s="10"/>
      <c r="D501" s="11" t="str">
        <f aca="false">IF(C501="","",IFERROR(INDEX(Summary!$B$2:$B$14,MATCH(C501,Summary!$A$2:$A$14,0)),"?"))</f>
        <v/>
      </c>
      <c r="E501" s="11" t="str">
        <f aca="false">IF(C501="","",IFERROR(INDEX(Summary!$C$2:$C$14,MATCH(C501,Summary!$A$2:$A$14,0)),"?"))</f>
        <v/>
      </c>
      <c r="F501" s="12"/>
      <c r="H501" s="0" t="str">
        <f aca="false">IF(OR(B501="",F501=""),"",F501-ROW()/100000)</f>
        <v/>
      </c>
      <c r="I501" s="0" t="str">
        <f aca="false">IF(H501="","",C501&amp;"|"&amp;(COUNTIFS($C$2:$C$1000,C501,$H$2:$H$1000,"&gt;"&amp;H501)+1))</f>
        <v/>
      </c>
    </row>
    <row r="502" customFormat="false" ht="15" hidden="false" customHeight="false" outlineLevel="0" collapsed="false">
      <c r="A502" s="8" t="str">
        <f aca="false">IF(F502="","",COUNTIF($F$2:$F$1000,"&gt;"&amp;F502)+1)</f>
        <v/>
      </c>
      <c r="B502" s="9"/>
      <c r="C502" s="10"/>
      <c r="D502" s="11" t="str">
        <f aca="false">IF(C502="","",IFERROR(INDEX(Summary!$B$2:$B$14,MATCH(C502,Summary!$A$2:$A$14,0)),"?"))</f>
        <v/>
      </c>
      <c r="E502" s="11" t="str">
        <f aca="false">IF(C502="","",IFERROR(INDEX(Summary!$C$2:$C$14,MATCH(C502,Summary!$A$2:$A$14,0)),"?"))</f>
        <v/>
      </c>
      <c r="F502" s="12"/>
      <c r="H502" s="0" t="str">
        <f aca="false">IF(OR(B502="",F502=""),"",F502-ROW()/100000)</f>
        <v/>
      </c>
      <c r="I502" s="0" t="str">
        <f aca="false">IF(H502="","",C502&amp;"|"&amp;(COUNTIFS($C$2:$C$1000,C502,$H$2:$H$1000,"&gt;"&amp;H502)+1))</f>
        <v/>
      </c>
    </row>
    <row r="503" customFormat="false" ht="15" hidden="false" customHeight="false" outlineLevel="0" collapsed="false">
      <c r="A503" s="8" t="str">
        <f aca="false">IF(F503="","",COUNTIF($F$2:$F$1000,"&gt;"&amp;F503)+1)</f>
        <v/>
      </c>
      <c r="B503" s="9"/>
      <c r="C503" s="10"/>
      <c r="D503" s="11" t="str">
        <f aca="false">IF(C503="","",IFERROR(INDEX(Summary!$B$2:$B$14,MATCH(C503,Summary!$A$2:$A$14,0)),"?"))</f>
        <v/>
      </c>
      <c r="E503" s="11" t="str">
        <f aca="false">IF(C503="","",IFERROR(INDEX(Summary!$C$2:$C$14,MATCH(C503,Summary!$A$2:$A$14,0)),"?"))</f>
        <v/>
      </c>
      <c r="F503" s="12"/>
      <c r="H503" s="0" t="str">
        <f aca="false">IF(OR(B503="",F503=""),"",F503-ROW()/100000)</f>
        <v/>
      </c>
      <c r="I503" s="0" t="str">
        <f aca="false">IF(H503="","",C503&amp;"|"&amp;(COUNTIFS($C$2:$C$1000,C503,$H$2:$H$1000,"&gt;"&amp;H503)+1))</f>
        <v/>
      </c>
    </row>
    <row r="504" customFormat="false" ht="15" hidden="false" customHeight="false" outlineLevel="0" collapsed="false">
      <c r="A504" s="8" t="str">
        <f aca="false">IF(F504="","",COUNTIF($F$2:$F$1000,"&gt;"&amp;F504)+1)</f>
        <v/>
      </c>
      <c r="B504" s="9"/>
      <c r="C504" s="10"/>
      <c r="D504" s="11" t="str">
        <f aca="false">IF(C504="","",IFERROR(INDEX(Summary!$B$2:$B$14,MATCH(C504,Summary!$A$2:$A$14,0)),"?"))</f>
        <v/>
      </c>
      <c r="E504" s="11" t="str">
        <f aca="false">IF(C504="","",IFERROR(INDEX(Summary!$C$2:$C$14,MATCH(C504,Summary!$A$2:$A$14,0)),"?"))</f>
        <v/>
      </c>
      <c r="F504" s="12"/>
      <c r="H504" s="0" t="str">
        <f aca="false">IF(OR(B504="",F504=""),"",F504-ROW()/100000)</f>
        <v/>
      </c>
      <c r="I504" s="0" t="str">
        <f aca="false">IF(H504="","",C504&amp;"|"&amp;(COUNTIFS($C$2:$C$1000,C504,$H$2:$H$1000,"&gt;"&amp;H504)+1))</f>
        <v/>
      </c>
    </row>
    <row r="505" customFormat="false" ht="15" hidden="false" customHeight="false" outlineLevel="0" collapsed="false">
      <c r="A505" s="8" t="str">
        <f aca="false">IF(F505="","",COUNTIF($F$2:$F$1000,"&gt;"&amp;F505)+1)</f>
        <v/>
      </c>
      <c r="B505" s="9"/>
      <c r="C505" s="10"/>
      <c r="D505" s="11" t="str">
        <f aca="false">IF(C505="","",IFERROR(INDEX(Summary!$B$2:$B$14,MATCH(C505,Summary!$A$2:$A$14,0)),"?"))</f>
        <v/>
      </c>
      <c r="E505" s="11" t="str">
        <f aca="false">IF(C505="","",IFERROR(INDEX(Summary!$C$2:$C$14,MATCH(C505,Summary!$A$2:$A$14,0)),"?"))</f>
        <v/>
      </c>
      <c r="F505" s="12"/>
      <c r="H505" s="0" t="str">
        <f aca="false">IF(OR(B505="",F505=""),"",F505-ROW()/100000)</f>
        <v/>
      </c>
      <c r="I505" s="0" t="str">
        <f aca="false">IF(H505="","",C505&amp;"|"&amp;(COUNTIFS($C$2:$C$1000,C505,$H$2:$H$1000,"&gt;"&amp;H505)+1))</f>
        <v/>
      </c>
    </row>
    <row r="506" customFormat="false" ht="15" hidden="false" customHeight="false" outlineLevel="0" collapsed="false">
      <c r="A506" s="8" t="str">
        <f aca="false">IF(F506="","",COUNTIF($F$2:$F$1000,"&gt;"&amp;F506)+1)</f>
        <v/>
      </c>
      <c r="B506" s="9"/>
      <c r="C506" s="10"/>
      <c r="D506" s="11" t="str">
        <f aca="false">IF(C506="","",IFERROR(INDEX(Summary!$B$2:$B$14,MATCH(C506,Summary!$A$2:$A$14,0)),"?"))</f>
        <v/>
      </c>
      <c r="E506" s="11" t="str">
        <f aca="false">IF(C506="","",IFERROR(INDEX(Summary!$C$2:$C$14,MATCH(C506,Summary!$A$2:$A$14,0)),"?"))</f>
        <v/>
      </c>
      <c r="F506" s="12"/>
      <c r="H506" s="0" t="str">
        <f aca="false">IF(OR(B506="",F506=""),"",F506-ROW()/100000)</f>
        <v/>
      </c>
      <c r="I506" s="0" t="str">
        <f aca="false">IF(H506="","",C506&amp;"|"&amp;(COUNTIFS($C$2:$C$1000,C506,$H$2:$H$1000,"&gt;"&amp;H506)+1))</f>
        <v/>
      </c>
    </row>
    <row r="507" customFormat="false" ht="15" hidden="false" customHeight="false" outlineLevel="0" collapsed="false">
      <c r="A507" s="8" t="str">
        <f aca="false">IF(F507="","",COUNTIF($F$2:$F$1000,"&gt;"&amp;F507)+1)</f>
        <v/>
      </c>
      <c r="B507" s="9"/>
      <c r="C507" s="10"/>
      <c r="D507" s="11" t="str">
        <f aca="false">IF(C507="","",IFERROR(INDEX(Summary!$B$2:$B$14,MATCH(C507,Summary!$A$2:$A$14,0)),"?"))</f>
        <v/>
      </c>
      <c r="E507" s="11" t="str">
        <f aca="false">IF(C507="","",IFERROR(INDEX(Summary!$C$2:$C$14,MATCH(C507,Summary!$A$2:$A$14,0)),"?"))</f>
        <v/>
      </c>
      <c r="F507" s="12"/>
      <c r="H507" s="0" t="str">
        <f aca="false">IF(OR(B507="",F507=""),"",F507-ROW()/100000)</f>
        <v/>
      </c>
      <c r="I507" s="0" t="str">
        <f aca="false">IF(H507="","",C507&amp;"|"&amp;(COUNTIFS($C$2:$C$1000,C507,$H$2:$H$1000,"&gt;"&amp;H507)+1))</f>
        <v/>
      </c>
    </row>
    <row r="508" customFormat="false" ht="15" hidden="false" customHeight="false" outlineLevel="0" collapsed="false">
      <c r="A508" s="8" t="str">
        <f aca="false">IF(F508="","",COUNTIF($F$2:$F$1000,"&gt;"&amp;F508)+1)</f>
        <v/>
      </c>
      <c r="B508" s="9"/>
      <c r="C508" s="10"/>
      <c r="D508" s="11" t="str">
        <f aca="false">IF(C508="","",IFERROR(INDEX(Summary!$B$2:$B$14,MATCH(C508,Summary!$A$2:$A$14,0)),"?"))</f>
        <v/>
      </c>
      <c r="E508" s="11" t="str">
        <f aca="false">IF(C508="","",IFERROR(INDEX(Summary!$C$2:$C$14,MATCH(C508,Summary!$A$2:$A$14,0)),"?"))</f>
        <v/>
      </c>
      <c r="F508" s="12"/>
      <c r="H508" s="0" t="str">
        <f aca="false">IF(OR(B508="",F508=""),"",F508-ROW()/100000)</f>
        <v/>
      </c>
      <c r="I508" s="0" t="str">
        <f aca="false">IF(H508="","",C508&amp;"|"&amp;(COUNTIFS($C$2:$C$1000,C508,$H$2:$H$1000,"&gt;"&amp;H508)+1))</f>
        <v/>
      </c>
    </row>
    <row r="509" customFormat="false" ht="15" hidden="false" customHeight="false" outlineLevel="0" collapsed="false">
      <c r="A509" s="8" t="str">
        <f aca="false">IF(F509="","",COUNTIF($F$2:$F$1000,"&gt;"&amp;F509)+1)</f>
        <v/>
      </c>
      <c r="B509" s="9"/>
      <c r="C509" s="10"/>
      <c r="D509" s="11" t="str">
        <f aca="false">IF(C509="","",IFERROR(INDEX(Summary!$B$2:$B$14,MATCH(C509,Summary!$A$2:$A$14,0)),"?"))</f>
        <v/>
      </c>
      <c r="E509" s="11" t="str">
        <f aca="false">IF(C509="","",IFERROR(INDEX(Summary!$C$2:$C$14,MATCH(C509,Summary!$A$2:$A$14,0)),"?"))</f>
        <v/>
      </c>
      <c r="F509" s="12"/>
      <c r="H509" s="0" t="str">
        <f aca="false">IF(OR(B509="",F509=""),"",F509-ROW()/100000)</f>
        <v/>
      </c>
      <c r="I509" s="0" t="str">
        <f aca="false">IF(H509="","",C509&amp;"|"&amp;(COUNTIFS($C$2:$C$1000,C509,$H$2:$H$1000,"&gt;"&amp;H509)+1))</f>
        <v/>
      </c>
    </row>
    <row r="510" customFormat="false" ht="15" hidden="false" customHeight="false" outlineLevel="0" collapsed="false">
      <c r="A510" s="8" t="str">
        <f aca="false">IF(F510="","",COUNTIF($F$2:$F$1000,"&gt;"&amp;F510)+1)</f>
        <v/>
      </c>
      <c r="B510" s="9"/>
      <c r="C510" s="10"/>
      <c r="D510" s="11" t="str">
        <f aca="false">IF(C510="","",IFERROR(INDEX(Summary!$B$2:$B$14,MATCH(C510,Summary!$A$2:$A$14,0)),"?"))</f>
        <v/>
      </c>
      <c r="E510" s="11" t="str">
        <f aca="false">IF(C510="","",IFERROR(INDEX(Summary!$C$2:$C$14,MATCH(C510,Summary!$A$2:$A$14,0)),"?"))</f>
        <v/>
      </c>
      <c r="F510" s="12"/>
      <c r="H510" s="0" t="str">
        <f aca="false">IF(OR(B510="",F510=""),"",F510-ROW()/100000)</f>
        <v/>
      </c>
      <c r="I510" s="0" t="str">
        <f aca="false">IF(H510="","",C510&amp;"|"&amp;(COUNTIFS($C$2:$C$1000,C510,$H$2:$H$1000,"&gt;"&amp;H510)+1))</f>
        <v/>
      </c>
    </row>
    <row r="511" customFormat="false" ht="15" hidden="false" customHeight="false" outlineLevel="0" collapsed="false">
      <c r="A511" s="8" t="str">
        <f aca="false">IF(F511="","",COUNTIF($F$2:$F$1000,"&gt;"&amp;F511)+1)</f>
        <v/>
      </c>
      <c r="B511" s="9"/>
      <c r="C511" s="10"/>
      <c r="D511" s="11" t="str">
        <f aca="false">IF(C511="","",IFERROR(INDEX(Summary!$B$2:$B$14,MATCH(C511,Summary!$A$2:$A$14,0)),"?"))</f>
        <v/>
      </c>
      <c r="E511" s="11" t="str">
        <f aca="false">IF(C511="","",IFERROR(INDEX(Summary!$C$2:$C$14,MATCH(C511,Summary!$A$2:$A$14,0)),"?"))</f>
        <v/>
      </c>
      <c r="F511" s="12"/>
      <c r="H511" s="0" t="str">
        <f aca="false">IF(OR(B511="",F511=""),"",F511-ROW()/100000)</f>
        <v/>
      </c>
      <c r="I511" s="0" t="str">
        <f aca="false">IF(H511="","",C511&amp;"|"&amp;(COUNTIFS($C$2:$C$1000,C511,$H$2:$H$1000,"&gt;"&amp;H511)+1))</f>
        <v/>
      </c>
    </row>
    <row r="512" customFormat="false" ht="15" hidden="false" customHeight="false" outlineLevel="0" collapsed="false">
      <c r="A512" s="8" t="str">
        <f aca="false">IF(F512="","",COUNTIF($F$2:$F$1000,"&gt;"&amp;F512)+1)</f>
        <v/>
      </c>
      <c r="B512" s="9"/>
      <c r="C512" s="10"/>
      <c r="D512" s="11" t="str">
        <f aca="false">IF(C512="","",IFERROR(INDEX(Summary!$B$2:$B$14,MATCH(C512,Summary!$A$2:$A$14,0)),"?"))</f>
        <v/>
      </c>
      <c r="E512" s="11" t="str">
        <f aca="false">IF(C512="","",IFERROR(INDEX(Summary!$C$2:$C$14,MATCH(C512,Summary!$A$2:$A$14,0)),"?"))</f>
        <v/>
      </c>
      <c r="F512" s="12"/>
      <c r="H512" s="0" t="str">
        <f aca="false">IF(OR(B512="",F512=""),"",F512-ROW()/100000)</f>
        <v/>
      </c>
      <c r="I512" s="0" t="str">
        <f aca="false">IF(H512="","",C512&amp;"|"&amp;(COUNTIFS($C$2:$C$1000,C512,$H$2:$H$1000,"&gt;"&amp;H512)+1))</f>
        <v/>
      </c>
    </row>
    <row r="513" customFormat="false" ht="15" hidden="false" customHeight="false" outlineLevel="0" collapsed="false">
      <c r="A513" s="8" t="str">
        <f aca="false">IF(F513="","",COUNTIF($F$2:$F$1000,"&gt;"&amp;F513)+1)</f>
        <v/>
      </c>
      <c r="B513" s="9"/>
      <c r="C513" s="10"/>
      <c r="D513" s="11" t="str">
        <f aca="false">IF(C513="","",IFERROR(INDEX(Summary!$B$2:$B$14,MATCH(C513,Summary!$A$2:$A$14,0)),"?"))</f>
        <v/>
      </c>
      <c r="E513" s="11" t="str">
        <f aca="false">IF(C513="","",IFERROR(INDEX(Summary!$C$2:$C$14,MATCH(C513,Summary!$A$2:$A$14,0)),"?"))</f>
        <v/>
      </c>
      <c r="F513" s="12"/>
      <c r="H513" s="0" t="str">
        <f aca="false">IF(OR(B513="",F513=""),"",F513-ROW()/100000)</f>
        <v/>
      </c>
      <c r="I513" s="0" t="str">
        <f aca="false">IF(H513="","",C513&amp;"|"&amp;(COUNTIFS($C$2:$C$1000,C513,$H$2:$H$1000,"&gt;"&amp;H513)+1))</f>
        <v/>
      </c>
    </row>
    <row r="514" customFormat="false" ht="15" hidden="false" customHeight="false" outlineLevel="0" collapsed="false">
      <c r="A514" s="8" t="str">
        <f aca="false">IF(F514="","",COUNTIF($F$2:$F$1000,"&gt;"&amp;F514)+1)</f>
        <v/>
      </c>
      <c r="B514" s="9"/>
      <c r="C514" s="10"/>
      <c r="D514" s="11" t="str">
        <f aca="false">IF(C514="","",IFERROR(INDEX(Summary!$B$2:$B$14,MATCH(C514,Summary!$A$2:$A$14,0)),"?"))</f>
        <v/>
      </c>
      <c r="E514" s="11" t="str">
        <f aca="false">IF(C514="","",IFERROR(INDEX(Summary!$C$2:$C$14,MATCH(C514,Summary!$A$2:$A$14,0)),"?"))</f>
        <v/>
      </c>
      <c r="F514" s="12"/>
      <c r="H514" s="0" t="str">
        <f aca="false">IF(OR(B514="",F514=""),"",F514-ROW()/100000)</f>
        <v/>
      </c>
      <c r="I514" s="0" t="str">
        <f aca="false">IF(H514="","",C514&amp;"|"&amp;(COUNTIFS($C$2:$C$1000,C514,$H$2:$H$1000,"&gt;"&amp;H514)+1))</f>
        <v/>
      </c>
    </row>
    <row r="515" customFormat="false" ht="15" hidden="false" customHeight="false" outlineLevel="0" collapsed="false">
      <c r="A515" s="8" t="str">
        <f aca="false">IF(F515="","",COUNTIF($F$2:$F$1000,"&gt;"&amp;F515)+1)</f>
        <v/>
      </c>
      <c r="B515" s="9"/>
      <c r="C515" s="10"/>
      <c r="D515" s="11" t="str">
        <f aca="false">IF(C515="","",IFERROR(INDEX(Summary!$B$2:$B$14,MATCH(C515,Summary!$A$2:$A$14,0)),"?"))</f>
        <v/>
      </c>
      <c r="E515" s="11" t="str">
        <f aca="false">IF(C515="","",IFERROR(INDEX(Summary!$C$2:$C$14,MATCH(C515,Summary!$A$2:$A$14,0)),"?"))</f>
        <v/>
      </c>
      <c r="F515" s="12"/>
      <c r="H515" s="0" t="str">
        <f aca="false">IF(OR(B515="",F515=""),"",F515-ROW()/100000)</f>
        <v/>
      </c>
      <c r="I515" s="0" t="str">
        <f aca="false">IF(H515="","",C515&amp;"|"&amp;(COUNTIFS($C$2:$C$1000,C515,$H$2:$H$1000,"&gt;"&amp;H515)+1))</f>
        <v/>
      </c>
    </row>
    <row r="516" customFormat="false" ht="15" hidden="false" customHeight="false" outlineLevel="0" collapsed="false">
      <c r="A516" s="8" t="str">
        <f aca="false">IF(F516="","",COUNTIF($F$2:$F$1000,"&gt;"&amp;F516)+1)</f>
        <v/>
      </c>
      <c r="B516" s="9"/>
      <c r="C516" s="10"/>
      <c r="D516" s="11" t="str">
        <f aca="false">IF(C516="","",IFERROR(INDEX(Summary!$B$2:$B$14,MATCH(C516,Summary!$A$2:$A$14,0)),"?"))</f>
        <v/>
      </c>
      <c r="E516" s="11" t="str">
        <f aca="false">IF(C516="","",IFERROR(INDEX(Summary!$C$2:$C$14,MATCH(C516,Summary!$A$2:$A$14,0)),"?"))</f>
        <v/>
      </c>
      <c r="F516" s="12"/>
      <c r="H516" s="0" t="str">
        <f aca="false">IF(OR(B516="",F516=""),"",F516-ROW()/100000)</f>
        <v/>
      </c>
      <c r="I516" s="0" t="str">
        <f aca="false">IF(H516="","",C516&amp;"|"&amp;(COUNTIFS($C$2:$C$1000,C516,$H$2:$H$1000,"&gt;"&amp;H516)+1))</f>
        <v/>
      </c>
    </row>
    <row r="517" customFormat="false" ht="15" hidden="false" customHeight="false" outlineLevel="0" collapsed="false">
      <c r="A517" s="8" t="str">
        <f aca="false">IF(F517="","",COUNTIF($F$2:$F$1000,"&gt;"&amp;F517)+1)</f>
        <v/>
      </c>
      <c r="B517" s="9"/>
      <c r="C517" s="10"/>
      <c r="D517" s="11" t="str">
        <f aca="false">IF(C517="","",IFERROR(INDEX(Summary!$B$2:$B$14,MATCH(C517,Summary!$A$2:$A$14,0)),"?"))</f>
        <v/>
      </c>
      <c r="E517" s="11" t="str">
        <f aca="false">IF(C517="","",IFERROR(INDEX(Summary!$C$2:$C$14,MATCH(C517,Summary!$A$2:$A$14,0)),"?"))</f>
        <v/>
      </c>
      <c r="F517" s="12"/>
      <c r="H517" s="0" t="str">
        <f aca="false">IF(OR(B517="",F517=""),"",F517-ROW()/100000)</f>
        <v/>
      </c>
      <c r="I517" s="0" t="str">
        <f aca="false">IF(H517="","",C517&amp;"|"&amp;(COUNTIFS($C$2:$C$1000,C517,$H$2:$H$1000,"&gt;"&amp;H517)+1))</f>
        <v/>
      </c>
    </row>
    <row r="518" customFormat="false" ht="15" hidden="false" customHeight="false" outlineLevel="0" collapsed="false">
      <c r="A518" s="8" t="str">
        <f aca="false">IF(F518="","",COUNTIF($F$2:$F$1000,"&gt;"&amp;F518)+1)</f>
        <v/>
      </c>
      <c r="B518" s="9"/>
      <c r="C518" s="10"/>
      <c r="D518" s="11" t="str">
        <f aca="false">IF(C518="","",IFERROR(INDEX(Summary!$B$2:$B$14,MATCH(C518,Summary!$A$2:$A$14,0)),"?"))</f>
        <v/>
      </c>
      <c r="E518" s="11" t="str">
        <f aca="false">IF(C518="","",IFERROR(INDEX(Summary!$C$2:$C$14,MATCH(C518,Summary!$A$2:$A$14,0)),"?"))</f>
        <v/>
      </c>
      <c r="F518" s="12"/>
      <c r="H518" s="0" t="str">
        <f aca="false">IF(OR(B518="",F518=""),"",F518-ROW()/100000)</f>
        <v/>
      </c>
      <c r="I518" s="0" t="str">
        <f aca="false">IF(H518="","",C518&amp;"|"&amp;(COUNTIFS($C$2:$C$1000,C518,$H$2:$H$1000,"&gt;"&amp;H518)+1))</f>
        <v/>
      </c>
    </row>
    <row r="519" customFormat="false" ht="15" hidden="false" customHeight="false" outlineLevel="0" collapsed="false">
      <c r="A519" s="8" t="str">
        <f aca="false">IF(F519="","",COUNTIF($F$2:$F$1000,"&gt;"&amp;F519)+1)</f>
        <v/>
      </c>
      <c r="B519" s="9"/>
      <c r="C519" s="10"/>
      <c r="D519" s="11" t="str">
        <f aca="false">IF(C519="","",IFERROR(INDEX(Summary!$B$2:$B$14,MATCH(C519,Summary!$A$2:$A$14,0)),"?"))</f>
        <v/>
      </c>
      <c r="E519" s="11" t="str">
        <f aca="false">IF(C519="","",IFERROR(INDEX(Summary!$C$2:$C$14,MATCH(C519,Summary!$A$2:$A$14,0)),"?"))</f>
        <v/>
      </c>
      <c r="F519" s="12"/>
      <c r="H519" s="0" t="str">
        <f aca="false">IF(OR(B519="",F519=""),"",F519-ROW()/100000)</f>
        <v/>
      </c>
      <c r="I519" s="0" t="str">
        <f aca="false">IF(H519="","",C519&amp;"|"&amp;(COUNTIFS($C$2:$C$1000,C519,$H$2:$H$1000,"&gt;"&amp;H519)+1))</f>
        <v/>
      </c>
    </row>
    <row r="520" customFormat="false" ht="15" hidden="false" customHeight="false" outlineLevel="0" collapsed="false">
      <c r="A520" s="8" t="str">
        <f aca="false">IF(F520="","",COUNTIF($F$2:$F$1000,"&gt;"&amp;F520)+1)</f>
        <v/>
      </c>
      <c r="B520" s="9"/>
      <c r="C520" s="10"/>
      <c r="D520" s="11" t="str">
        <f aca="false">IF(C520="","",IFERROR(INDEX(Summary!$B$2:$B$14,MATCH(C520,Summary!$A$2:$A$14,0)),"?"))</f>
        <v/>
      </c>
      <c r="E520" s="11" t="str">
        <f aca="false">IF(C520="","",IFERROR(INDEX(Summary!$C$2:$C$14,MATCH(C520,Summary!$A$2:$A$14,0)),"?"))</f>
        <v/>
      </c>
      <c r="F520" s="12"/>
      <c r="H520" s="0" t="str">
        <f aca="false">IF(OR(B520="",F520=""),"",F520-ROW()/100000)</f>
        <v/>
      </c>
      <c r="I520" s="0" t="str">
        <f aca="false">IF(H520="","",C520&amp;"|"&amp;(COUNTIFS($C$2:$C$1000,C520,$H$2:$H$1000,"&gt;"&amp;H520)+1))</f>
        <v/>
      </c>
    </row>
    <row r="521" customFormat="false" ht="15" hidden="false" customHeight="false" outlineLevel="0" collapsed="false">
      <c r="A521" s="8" t="str">
        <f aca="false">IF(F521="","",COUNTIF($F$2:$F$1000,"&gt;"&amp;F521)+1)</f>
        <v/>
      </c>
      <c r="B521" s="9"/>
      <c r="C521" s="10"/>
      <c r="D521" s="11" t="str">
        <f aca="false">IF(C521="","",IFERROR(INDEX(Summary!$B$2:$B$14,MATCH(C521,Summary!$A$2:$A$14,0)),"?"))</f>
        <v/>
      </c>
      <c r="E521" s="11" t="str">
        <f aca="false">IF(C521="","",IFERROR(INDEX(Summary!$C$2:$C$14,MATCH(C521,Summary!$A$2:$A$14,0)),"?"))</f>
        <v/>
      </c>
      <c r="F521" s="12"/>
      <c r="H521" s="0" t="str">
        <f aca="false">IF(OR(B521="",F521=""),"",F521-ROW()/100000)</f>
        <v/>
      </c>
      <c r="I521" s="0" t="str">
        <f aca="false">IF(H521="","",C521&amp;"|"&amp;(COUNTIFS($C$2:$C$1000,C521,$H$2:$H$1000,"&gt;"&amp;H521)+1))</f>
        <v/>
      </c>
    </row>
    <row r="522" customFormat="false" ht="15" hidden="false" customHeight="false" outlineLevel="0" collapsed="false">
      <c r="A522" s="8" t="str">
        <f aca="false">IF(F522="","",COUNTIF($F$2:$F$1000,"&gt;"&amp;F522)+1)</f>
        <v/>
      </c>
      <c r="B522" s="9"/>
      <c r="C522" s="10"/>
      <c r="D522" s="11" t="str">
        <f aca="false">IF(C522="","",IFERROR(INDEX(Summary!$B$2:$B$14,MATCH(C522,Summary!$A$2:$A$14,0)),"?"))</f>
        <v/>
      </c>
      <c r="E522" s="11" t="str">
        <f aca="false">IF(C522="","",IFERROR(INDEX(Summary!$C$2:$C$14,MATCH(C522,Summary!$A$2:$A$14,0)),"?"))</f>
        <v/>
      </c>
      <c r="F522" s="12"/>
      <c r="H522" s="0" t="str">
        <f aca="false">IF(OR(B522="",F522=""),"",F522-ROW()/100000)</f>
        <v/>
      </c>
      <c r="I522" s="0" t="str">
        <f aca="false">IF(H522="","",C522&amp;"|"&amp;(COUNTIFS($C$2:$C$1000,C522,$H$2:$H$1000,"&gt;"&amp;H522)+1))</f>
        <v/>
      </c>
    </row>
    <row r="523" customFormat="false" ht="15" hidden="false" customHeight="false" outlineLevel="0" collapsed="false">
      <c r="A523" s="8" t="str">
        <f aca="false">IF(F523="","",COUNTIF($F$2:$F$1000,"&gt;"&amp;F523)+1)</f>
        <v/>
      </c>
      <c r="B523" s="9"/>
      <c r="C523" s="10"/>
      <c r="D523" s="11" t="str">
        <f aca="false">IF(C523="","",IFERROR(INDEX(Summary!$B$2:$B$14,MATCH(C523,Summary!$A$2:$A$14,0)),"?"))</f>
        <v/>
      </c>
      <c r="E523" s="11" t="str">
        <f aca="false">IF(C523="","",IFERROR(INDEX(Summary!$C$2:$C$14,MATCH(C523,Summary!$A$2:$A$14,0)),"?"))</f>
        <v/>
      </c>
      <c r="F523" s="12"/>
      <c r="H523" s="0" t="str">
        <f aca="false">IF(OR(B523="",F523=""),"",F523-ROW()/100000)</f>
        <v/>
      </c>
      <c r="I523" s="0" t="str">
        <f aca="false">IF(H523="","",C523&amp;"|"&amp;(COUNTIFS($C$2:$C$1000,C523,$H$2:$H$1000,"&gt;"&amp;H523)+1))</f>
        <v/>
      </c>
    </row>
    <row r="524" customFormat="false" ht="15" hidden="false" customHeight="false" outlineLevel="0" collapsed="false">
      <c r="A524" s="8" t="str">
        <f aca="false">IF(F524="","",COUNTIF($F$2:$F$1000,"&gt;"&amp;F524)+1)</f>
        <v/>
      </c>
      <c r="B524" s="9"/>
      <c r="C524" s="10"/>
      <c r="D524" s="11" t="str">
        <f aca="false">IF(C524="","",IFERROR(INDEX(Summary!$B$2:$B$14,MATCH(C524,Summary!$A$2:$A$14,0)),"?"))</f>
        <v/>
      </c>
      <c r="E524" s="11" t="str">
        <f aca="false">IF(C524="","",IFERROR(INDEX(Summary!$C$2:$C$14,MATCH(C524,Summary!$A$2:$A$14,0)),"?"))</f>
        <v/>
      </c>
      <c r="F524" s="12"/>
      <c r="H524" s="0" t="str">
        <f aca="false">IF(OR(B524="",F524=""),"",F524-ROW()/100000)</f>
        <v/>
      </c>
      <c r="I524" s="0" t="str">
        <f aca="false">IF(H524="","",C524&amp;"|"&amp;(COUNTIFS($C$2:$C$1000,C524,$H$2:$H$1000,"&gt;"&amp;H524)+1))</f>
        <v/>
      </c>
    </row>
    <row r="525" customFormat="false" ht="15" hidden="false" customHeight="false" outlineLevel="0" collapsed="false">
      <c r="A525" s="8" t="str">
        <f aca="false">IF(F525="","",COUNTIF($F$2:$F$1000,"&gt;"&amp;F525)+1)</f>
        <v/>
      </c>
      <c r="B525" s="9"/>
      <c r="C525" s="10"/>
      <c r="D525" s="11" t="str">
        <f aca="false">IF(C525="","",IFERROR(INDEX(Summary!$B$2:$B$14,MATCH(C525,Summary!$A$2:$A$14,0)),"?"))</f>
        <v/>
      </c>
      <c r="E525" s="11" t="str">
        <f aca="false">IF(C525="","",IFERROR(INDEX(Summary!$C$2:$C$14,MATCH(C525,Summary!$A$2:$A$14,0)),"?"))</f>
        <v/>
      </c>
      <c r="F525" s="12"/>
      <c r="H525" s="0" t="str">
        <f aca="false">IF(OR(B525="",F525=""),"",F525-ROW()/100000)</f>
        <v/>
      </c>
      <c r="I525" s="0" t="str">
        <f aca="false">IF(H525="","",C525&amp;"|"&amp;(COUNTIFS($C$2:$C$1000,C525,$H$2:$H$1000,"&gt;"&amp;H525)+1))</f>
        <v/>
      </c>
    </row>
    <row r="526" customFormat="false" ht="15" hidden="false" customHeight="false" outlineLevel="0" collapsed="false">
      <c r="A526" s="8" t="str">
        <f aca="false">IF(F526="","",COUNTIF($F$2:$F$1000,"&gt;"&amp;F526)+1)</f>
        <v/>
      </c>
      <c r="B526" s="9"/>
      <c r="C526" s="10"/>
      <c r="D526" s="11" t="str">
        <f aca="false">IF(C526="","",IFERROR(INDEX(Summary!$B$2:$B$14,MATCH(C526,Summary!$A$2:$A$14,0)),"?"))</f>
        <v/>
      </c>
      <c r="E526" s="11" t="str">
        <f aca="false">IF(C526="","",IFERROR(INDEX(Summary!$C$2:$C$14,MATCH(C526,Summary!$A$2:$A$14,0)),"?"))</f>
        <v/>
      </c>
      <c r="F526" s="12"/>
      <c r="H526" s="0" t="str">
        <f aca="false">IF(OR(B526="",F526=""),"",F526-ROW()/100000)</f>
        <v/>
      </c>
      <c r="I526" s="0" t="str">
        <f aca="false">IF(H526="","",C526&amp;"|"&amp;(COUNTIFS($C$2:$C$1000,C526,$H$2:$H$1000,"&gt;"&amp;H526)+1))</f>
        <v/>
      </c>
    </row>
    <row r="527" customFormat="false" ht="15" hidden="false" customHeight="false" outlineLevel="0" collapsed="false">
      <c r="A527" s="8" t="str">
        <f aca="false">IF(F527="","",COUNTIF($F$2:$F$1000,"&gt;"&amp;F527)+1)</f>
        <v/>
      </c>
      <c r="B527" s="9"/>
      <c r="C527" s="10"/>
      <c r="D527" s="11" t="str">
        <f aca="false">IF(C527="","",IFERROR(INDEX(Summary!$B$2:$B$14,MATCH(C527,Summary!$A$2:$A$14,0)),"?"))</f>
        <v/>
      </c>
      <c r="E527" s="11" t="str">
        <f aca="false">IF(C527="","",IFERROR(INDEX(Summary!$C$2:$C$14,MATCH(C527,Summary!$A$2:$A$14,0)),"?"))</f>
        <v/>
      </c>
      <c r="F527" s="12"/>
      <c r="H527" s="0" t="str">
        <f aca="false">IF(OR(B527="",F527=""),"",F527-ROW()/100000)</f>
        <v/>
      </c>
      <c r="I527" s="0" t="str">
        <f aca="false">IF(H527="","",C527&amp;"|"&amp;(COUNTIFS($C$2:$C$1000,C527,$H$2:$H$1000,"&gt;"&amp;H527)+1))</f>
        <v/>
      </c>
    </row>
    <row r="528" customFormat="false" ht="15" hidden="false" customHeight="false" outlineLevel="0" collapsed="false">
      <c r="A528" s="8" t="str">
        <f aca="false">IF(F528="","",COUNTIF($F$2:$F$1000,"&gt;"&amp;F528)+1)</f>
        <v/>
      </c>
      <c r="B528" s="9"/>
      <c r="C528" s="10"/>
      <c r="D528" s="11" t="str">
        <f aca="false">IF(C528="","",IFERROR(INDEX(Summary!$B$2:$B$14,MATCH(C528,Summary!$A$2:$A$14,0)),"?"))</f>
        <v/>
      </c>
      <c r="E528" s="11" t="str">
        <f aca="false">IF(C528="","",IFERROR(INDEX(Summary!$C$2:$C$14,MATCH(C528,Summary!$A$2:$A$14,0)),"?"))</f>
        <v/>
      </c>
      <c r="F528" s="12"/>
      <c r="H528" s="0" t="str">
        <f aca="false">IF(OR(B528="",F528=""),"",F528-ROW()/100000)</f>
        <v/>
      </c>
      <c r="I528" s="0" t="str">
        <f aca="false">IF(H528="","",C528&amp;"|"&amp;(COUNTIFS($C$2:$C$1000,C528,$H$2:$H$1000,"&gt;"&amp;H528)+1))</f>
        <v/>
      </c>
    </row>
    <row r="529" customFormat="false" ht="15" hidden="false" customHeight="false" outlineLevel="0" collapsed="false">
      <c r="A529" s="8" t="str">
        <f aca="false">IF(F529="","",COUNTIF($F$2:$F$1000,"&gt;"&amp;F529)+1)</f>
        <v/>
      </c>
      <c r="B529" s="9"/>
      <c r="C529" s="10"/>
      <c r="D529" s="11" t="str">
        <f aca="false">IF(C529="","",IFERROR(INDEX(Summary!$B$2:$B$14,MATCH(C529,Summary!$A$2:$A$14,0)),"?"))</f>
        <v/>
      </c>
      <c r="E529" s="11" t="str">
        <f aca="false">IF(C529="","",IFERROR(INDEX(Summary!$C$2:$C$14,MATCH(C529,Summary!$A$2:$A$14,0)),"?"))</f>
        <v/>
      </c>
      <c r="F529" s="12"/>
      <c r="H529" s="0" t="str">
        <f aca="false">IF(OR(B529="",F529=""),"",F529-ROW()/100000)</f>
        <v/>
      </c>
      <c r="I529" s="0" t="str">
        <f aca="false">IF(H529="","",C529&amp;"|"&amp;(COUNTIFS($C$2:$C$1000,C529,$H$2:$H$1000,"&gt;"&amp;H529)+1))</f>
        <v/>
      </c>
    </row>
    <row r="530" customFormat="false" ht="15" hidden="false" customHeight="false" outlineLevel="0" collapsed="false">
      <c r="A530" s="8" t="str">
        <f aca="false">IF(F530="","",COUNTIF($F$2:$F$1000,"&gt;"&amp;F530)+1)</f>
        <v/>
      </c>
      <c r="B530" s="9"/>
      <c r="C530" s="10"/>
      <c r="D530" s="11" t="str">
        <f aca="false">IF(C530="","",IFERROR(INDEX(Summary!$B$2:$B$14,MATCH(C530,Summary!$A$2:$A$14,0)),"?"))</f>
        <v/>
      </c>
      <c r="E530" s="11" t="str">
        <f aca="false">IF(C530="","",IFERROR(INDEX(Summary!$C$2:$C$14,MATCH(C530,Summary!$A$2:$A$14,0)),"?"))</f>
        <v/>
      </c>
      <c r="F530" s="12"/>
      <c r="H530" s="0" t="str">
        <f aca="false">IF(OR(B530="",F530=""),"",F530-ROW()/100000)</f>
        <v/>
      </c>
      <c r="I530" s="0" t="str">
        <f aca="false">IF(H530="","",C530&amp;"|"&amp;(COUNTIFS($C$2:$C$1000,C530,$H$2:$H$1000,"&gt;"&amp;H530)+1))</f>
        <v/>
      </c>
    </row>
    <row r="531" customFormat="false" ht="15" hidden="false" customHeight="false" outlineLevel="0" collapsed="false">
      <c r="A531" s="8" t="str">
        <f aca="false">IF(F531="","",COUNTIF($F$2:$F$1000,"&gt;"&amp;F531)+1)</f>
        <v/>
      </c>
      <c r="B531" s="9"/>
      <c r="C531" s="10"/>
      <c r="D531" s="11" t="str">
        <f aca="false">IF(C531="","",IFERROR(INDEX(Summary!$B$2:$B$14,MATCH(C531,Summary!$A$2:$A$14,0)),"?"))</f>
        <v/>
      </c>
      <c r="E531" s="11" t="str">
        <f aca="false">IF(C531="","",IFERROR(INDEX(Summary!$C$2:$C$14,MATCH(C531,Summary!$A$2:$A$14,0)),"?"))</f>
        <v/>
      </c>
      <c r="F531" s="12"/>
      <c r="H531" s="0" t="str">
        <f aca="false">IF(OR(B531="",F531=""),"",F531-ROW()/100000)</f>
        <v/>
      </c>
      <c r="I531" s="0" t="str">
        <f aca="false">IF(H531="","",C531&amp;"|"&amp;(COUNTIFS($C$2:$C$1000,C531,$H$2:$H$1000,"&gt;"&amp;H531)+1))</f>
        <v/>
      </c>
    </row>
    <row r="532" customFormat="false" ht="15" hidden="false" customHeight="false" outlineLevel="0" collapsed="false">
      <c r="A532" s="8" t="str">
        <f aca="false">IF(F532="","",COUNTIF($F$2:$F$1000,"&gt;"&amp;F532)+1)</f>
        <v/>
      </c>
      <c r="B532" s="9"/>
      <c r="C532" s="10"/>
      <c r="D532" s="11" t="str">
        <f aca="false">IF(C532="","",IFERROR(INDEX(Summary!$B$2:$B$14,MATCH(C532,Summary!$A$2:$A$14,0)),"?"))</f>
        <v/>
      </c>
      <c r="E532" s="11" t="str">
        <f aca="false">IF(C532="","",IFERROR(INDEX(Summary!$C$2:$C$14,MATCH(C532,Summary!$A$2:$A$14,0)),"?"))</f>
        <v/>
      </c>
      <c r="F532" s="12"/>
      <c r="H532" s="0" t="str">
        <f aca="false">IF(OR(B532="",F532=""),"",F532-ROW()/100000)</f>
        <v/>
      </c>
      <c r="I532" s="0" t="str">
        <f aca="false">IF(H532="","",C532&amp;"|"&amp;(COUNTIFS($C$2:$C$1000,C532,$H$2:$H$1000,"&gt;"&amp;H532)+1))</f>
        <v/>
      </c>
    </row>
    <row r="533" customFormat="false" ht="15" hidden="false" customHeight="false" outlineLevel="0" collapsed="false">
      <c r="A533" s="8" t="str">
        <f aca="false">IF(F533="","",COUNTIF($F$2:$F$1000,"&gt;"&amp;F533)+1)</f>
        <v/>
      </c>
      <c r="B533" s="9"/>
      <c r="C533" s="10"/>
      <c r="D533" s="11" t="str">
        <f aca="false">IF(C533="","",IFERROR(INDEX(Summary!$B$2:$B$14,MATCH(C533,Summary!$A$2:$A$14,0)),"?"))</f>
        <v/>
      </c>
      <c r="E533" s="11" t="str">
        <f aca="false">IF(C533="","",IFERROR(INDEX(Summary!$C$2:$C$14,MATCH(C533,Summary!$A$2:$A$14,0)),"?"))</f>
        <v/>
      </c>
      <c r="F533" s="12"/>
      <c r="H533" s="0" t="str">
        <f aca="false">IF(OR(B533="",F533=""),"",F533-ROW()/100000)</f>
        <v/>
      </c>
      <c r="I533" s="0" t="str">
        <f aca="false">IF(H533="","",C533&amp;"|"&amp;(COUNTIFS($C$2:$C$1000,C533,$H$2:$H$1000,"&gt;"&amp;H533)+1))</f>
        <v/>
      </c>
    </row>
    <row r="534" customFormat="false" ht="15" hidden="false" customHeight="false" outlineLevel="0" collapsed="false">
      <c r="A534" s="8" t="str">
        <f aca="false">IF(F534="","",COUNTIF($F$2:$F$1000,"&gt;"&amp;F534)+1)</f>
        <v/>
      </c>
      <c r="B534" s="9"/>
      <c r="C534" s="10"/>
      <c r="D534" s="11" t="str">
        <f aca="false">IF(C534="","",IFERROR(INDEX(Summary!$B$2:$B$14,MATCH(C534,Summary!$A$2:$A$14,0)),"?"))</f>
        <v/>
      </c>
      <c r="E534" s="11" t="str">
        <f aca="false">IF(C534="","",IFERROR(INDEX(Summary!$C$2:$C$14,MATCH(C534,Summary!$A$2:$A$14,0)),"?"))</f>
        <v/>
      </c>
      <c r="F534" s="12"/>
      <c r="H534" s="0" t="str">
        <f aca="false">IF(OR(B534="",F534=""),"",F534-ROW()/100000)</f>
        <v/>
      </c>
      <c r="I534" s="0" t="str">
        <f aca="false">IF(H534="","",C534&amp;"|"&amp;(COUNTIFS($C$2:$C$1000,C534,$H$2:$H$1000,"&gt;"&amp;H534)+1))</f>
        <v/>
      </c>
    </row>
    <row r="535" customFormat="false" ht="15" hidden="false" customHeight="false" outlineLevel="0" collapsed="false">
      <c r="A535" s="8" t="str">
        <f aca="false">IF(F535="","",COUNTIF($F$2:$F$1000,"&gt;"&amp;F535)+1)</f>
        <v/>
      </c>
      <c r="B535" s="9"/>
      <c r="C535" s="10"/>
      <c r="D535" s="11" t="str">
        <f aca="false">IF(C535="","",IFERROR(INDEX(Summary!$B$2:$B$14,MATCH(C535,Summary!$A$2:$A$14,0)),"?"))</f>
        <v/>
      </c>
      <c r="E535" s="11" t="str">
        <f aca="false">IF(C535="","",IFERROR(INDEX(Summary!$C$2:$C$14,MATCH(C535,Summary!$A$2:$A$14,0)),"?"))</f>
        <v/>
      </c>
      <c r="F535" s="12"/>
      <c r="H535" s="0" t="str">
        <f aca="false">IF(OR(B535="",F535=""),"",F535-ROW()/100000)</f>
        <v/>
      </c>
      <c r="I535" s="0" t="str">
        <f aca="false">IF(H535="","",C535&amp;"|"&amp;(COUNTIFS($C$2:$C$1000,C535,$H$2:$H$1000,"&gt;"&amp;H535)+1))</f>
        <v/>
      </c>
    </row>
    <row r="536" customFormat="false" ht="15" hidden="false" customHeight="false" outlineLevel="0" collapsed="false">
      <c r="A536" s="8" t="str">
        <f aca="false">IF(F536="","",COUNTIF($F$2:$F$1000,"&gt;"&amp;F536)+1)</f>
        <v/>
      </c>
      <c r="B536" s="9"/>
      <c r="C536" s="10"/>
      <c r="D536" s="11" t="str">
        <f aca="false">IF(C536="","",IFERROR(INDEX(Summary!$B$2:$B$14,MATCH(C536,Summary!$A$2:$A$14,0)),"?"))</f>
        <v/>
      </c>
      <c r="E536" s="11" t="str">
        <f aca="false">IF(C536="","",IFERROR(INDEX(Summary!$C$2:$C$14,MATCH(C536,Summary!$A$2:$A$14,0)),"?"))</f>
        <v/>
      </c>
      <c r="F536" s="12"/>
      <c r="H536" s="0" t="str">
        <f aca="false">IF(OR(B536="",F536=""),"",F536-ROW()/100000)</f>
        <v/>
      </c>
      <c r="I536" s="0" t="str">
        <f aca="false">IF(H536="","",C536&amp;"|"&amp;(COUNTIFS($C$2:$C$1000,C536,$H$2:$H$1000,"&gt;"&amp;H536)+1))</f>
        <v/>
      </c>
    </row>
    <row r="537" customFormat="false" ht="15" hidden="false" customHeight="false" outlineLevel="0" collapsed="false">
      <c r="A537" s="8" t="str">
        <f aca="false">IF(F537="","",COUNTIF($F$2:$F$1000,"&gt;"&amp;F537)+1)</f>
        <v/>
      </c>
      <c r="B537" s="9"/>
      <c r="C537" s="10"/>
      <c r="D537" s="11" t="str">
        <f aca="false">IF(C537="","",IFERROR(INDEX(Summary!$B$2:$B$14,MATCH(C537,Summary!$A$2:$A$14,0)),"?"))</f>
        <v/>
      </c>
      <c r="E537" s="11" t="str">
        <f aca="false">IF(C537="","",IFERROR(INDEX(Summary!$C$2:$C$14,MATCH(C537,Summary!$A$2:$A$14,0)),"?"))</f>
        <v/>
      </c>
      <c r="F537" s="12"/>
      <c r="H537" s="0" t="str">
        <f aca="false">IF(OR(B537="",F537=""),"",F537-ROW()/100000)</f>
        <v/>
      </c>
      <c r="I537" s="0" t="str">
        <f aca="false">IF(H537="","",C537&amp;"|"&amp;(COUNTIFS($C$2:$C$1000,C537,$H$2:$H$1000,"&gt;"&amp;H537)+1))</f>
        <v/>
      </c>
    </row>
    <row r="538" customFormat="false" ht="15" hidden="false" customHeight="false" outlineLevel="0" collapsed="false">
      <c r="A538" s="8" t="str">
        <f aca="false">IF(F538="","",COUNTIF($F$2:$F$1000,"&gt;"&amp;F538)+1)</f>
        <v/>
      </c>
      <c r="B538" s="9"/>
      <c r="C538" s="10"/>
      <c r="D538" s="11" t="str">
        <f aca="false">IF(C538="","",IFERROR(INDEX(Summary!$B$2:$B$14,MATCH(C538,Summary!$A$2:$A$14,0)),"?"))</f>
        <v/>
      </c>
      <c r="E538" s="11" t="str">
        <f aca="false">IF(C538="","",IFERROR(INDEX(Summary!$C$2:$C$14,MATCH(C538,Summary!$A$2:$A$14,0)),"?"))</f>
        <v/>
      </c>
      <c r="F538" s="12"/>
      <c r="H538" s="0" t="str">
        <f aca="false">IF(OR(B538="",F538=""),"",F538-ROW()/100000)</f>
        <v/>
      </c>
      <c r="I538" s="0" t="str">
        <f aca="false">IF(H538="","",C538&amp;"|"&amp;(COUNTIFS($C$2:$C$1000,C538,$H$2:$H$1000,"&gt;"&amp;H538)+1))</f>
        <v/>
      </c>
    </row>
    <row r="539" customFormat="false" ht="15" hidden="false" customHeight="false" outlineLevel="0" collapsed="false">
      <c r="A539" s="8" t="str">
        <f aca="false">IF(F539="","",COUNTIF($F$2:$F$1000,"&gt;"&amp;F539)+1)</f>
        <v/>
      </c>
      <c r="B539" s="9"/>
      <c r="C539" s="10"/>
      <c r="D539" s="11" t="str">
        <f aca="false">IF(C539="","",IFERROR(INDEX(Summary!$B$2:$B$14,MATCH(C539,Summary!$A$2:$A$14,0)),"?"))</f>
        <v/>
      </c>
      <c r="E539" s="11" t="str">
        <f aca="false">IF(C539="","",IFERROR(INDEX(Summary!$C$2:$C$14,MATCH(C539,Summary!$A$2:$A$14,0)),"?"))</f>
        <v/>
      </c>
      <c r="F539" s="12"/>
      <c r="H539" s="0" t="str">
        <f aca="false">IF(OR(B539="",F539=""),"",F539-ROW()/100000)</f>
        <v/>
      </c>
      <c r="I539" s="0" t="str">
        <f aca="false">IF(H539="","",C539&amp;"|"&amp;(COUNTIFS($C$2:$C$1000,C539,$H$2:$H$1000,"&gt;"&amp;H539)+1))</f>
        <v/>
      </c>
    </row>
    <row r="540" customFormat="false" ht="15" hidden="false" customHeight="false" outlineLevel="0" collapsed="false">
      <c r="A540" s="8" t="str">
        <f aca="false">IF(F540="","",COUNTIF($F$2:$F$1000,"&gt;"&amp;F540)+1)</f>
        <v/>
      </c>
      <c r="B540" s="9"/>
      <c r="C540" s="10"/>
      <c r="D540" s="11" t="str">
        <f aca="false">IF(C540="","",IFERROR(INDEX(Summary!$B$2:$B$14,MATCH(C540,Summary!$A$2:$A$14,0)),"?"))</f>
        <v/>
      </c>
      <c r="E540" s="11" t="str">
        <f aca="false">IF(C540="","",IFERROR(INDEX(Summary!$C$2:$C$14,MATCH(C540,Summary!$A$2:$A$14,0)),"?"))</f>
        <v/>
      </c>
      <c r="F540" s="12"/>
      <c r="H540" s="0" t="str">
        <f aca="false">IF(OR(B540="",F540=""),"",F540-ROW()/100000)</f>
        <v/>
      </c>
      <c r="I540" s="0" t="str">
        <f aca="false">IF(H540="","",C540&amp;"|"&amp;(COUNTIFS($C$2:$C$1000,C540,$H$2:$H$1000,"&gt;"&amp;H540)+1))</f>
        <v/>
      </c>
    </row>
    <row r="541" customFormat="false" ht="15" hidden="false" customHeight="false" outlineLevel="0" collapsed="false">
      <c r="A541" s="8" t="str">
        <f aca="false">IF(F541="","",COUNTIF($F$2:$F$1000,"&gt;"&amp;F541)+1)</f>
        <v/>
      </c>
      <c r="B541" s="9"/>
      <c r="C541" s="10"/>
      <c r="D541" s="11" t="str">
        <f aca="false">IF(C541="","",IFERROR(INDEX(Summary!$B$2:$B$14,MATCH(C541,Summary!$A$2:$A$14,0)),"?"))</f>
        <v/>
      </c>
      <c r="E541" s="11" t="str">
        <f aca="false">IF(C541="","",IFERROR(INDEX(Summary!$C$2:$C$14,MATCH(C541,Summary!$A$2:$A$14,0)),"?"))</f>
        <v/>
      </c>
      <c r="F541" s="12"/>
      <c r="H541" s="0" t="str">
        <f aca="false">IF(OR(B541="",F541=""),"",F541-ROW()/100000)</f>
        <v/>
      </c>
      <c r="I541" s="0" t="str">
        <f aca="false">IF(H541="","",C541&amp;"|"&amp;(COUNTIFS($C$2:$C$1000,C541,$H$2:$H$1000,"&gt;"&amp;H541)+1))</f>
        <v/>
      </c>
    </row>
    <row r="542" customFormat="false" ht="15" hidden="false" customHeight="false" outlineLevel="0" collapsed="false">
      <c r="A542" s="8" t="str">
        <f aca="false">IF(F542="","",COUNTIF($F$2:$F$1000,"&gt;"&amp;F542)+1)</f>
        <v/>
      </c>
      <c r="B542" s="9"/>
      <c r="C542" s="10"/>
      <c r="D542" s="11" t="str">
        <f aca="false">IF(C542="","",IFERROR(INDEX(Summary!$B$2:$B$14,MATCH(C542,Summary!$A$2:$A$14,0)),"?"))</f>
        <v/>
      </c>
      <c r="E542" s="11" t="str">
        <f aca="false">IF(C542="","",IFERROR(INDEX(Summary!$C$2:$C$14,MATCH(C542,Summary!$A$2:$A$14,0)),"?"))</f>
        <v/>
      </c>
      <c r="F542" s="12"/>
      <c r="H542" s="0" t="str">
        <f aca="false">IF(OR(B542="",F542=""),"",F542-ROW()/100000)</f>
        <v/>
      </c>
      <c r="I542" s="0" t="str">
        <f aca="false">IF(H542="","",C542&amp;"|"&amp;(COUNTIFS($C$2:$C$1000,C542,$H$2:$H$1000,"&gt;"&amp;H542)+1))</f>
        <v/>
      </c>
    </row>
    <row r="543" customFormat="false" ht="15" hidden="false" customHeight="false" outlineLevel="0" collapsed="false">
      <c r="A543" s="8" t="str">
        <f aca="false">IF(F543="","",COUNTIF($F$2:$F$1000,"&gt;"&amp;F543)+1)</f>
        <v/>
      </c>
      <c r="B543" s="9"/>
      <c r="C543" s="10"/>
      <c r="D543" s="11" t="str">
        <f aca="false">IF(C543="","",IFERROR(INDEX(Summary!$B$2:$B$14,MATCH(C543,Summary!$A$2:$A$14,0)),"?"))</f>
        <v/>
      </c>
      <c r="E543" s="11" t="str">
        <f aca="false">IF(C543="","",IFERROR(INDEX(Summary!$C$2:$C$14,MATCH(C543,Summary!$A$2:$A$14,0)),"?"))</f>
        <v/>
      </c>
      <c r="F543" s="12"/>
      <c r="H543" s="0" t="str">
        <f aca="false">IF(OR(B543="",F543=""),"",F543-ROW()/100000)</f>
        <v/>
      </c>
      <c r="I543" s="0" t="str">
        <f aca="false">IF(H543="","",C543&amp;"|"&amp;(COUNTIFS($C$2:$C$1000,C543,$H$2:$H$1000,"&gt;"&amp;H543)+1))</f>
        <v/>
      </c>
    </row>
    <row r="544" customFormat="false" ht="15" hidden="false" customHeight="false" outlineLevel="0" collapsed="false">
      <c r="A544" s="8" t="str">
        <f aca="false">IF(F544="","",COUNTIF($F$2:$F$1000,"&gt;"&amp;F544)+1)</f>
        <v/>
      </c>
      <c r="B544" s="9"/>
      <c r="C544" s="10"/>
      <c r="D544" s="11" t="str">
        <f aca="false">IF(C544="","",IFERROR(INDEX(Summary!$B$2:$B$14,MATCH(C544,Summary!$A$2:$A$14,0)),"?"))</f>
        <v/>
      </c>
      <c r="E544" s="11" t="str">
        <f aca="false">IF(C544="","",IFERROR(INDEX(Summary!$C$2:$C$14,MATCH(C544,Summary!$A$2:$A$14,0)),"?"))</f>
        <v/>
      </c>
      <c r="F544" s="12"/>
      <c r="H544" s="0" t="str">
        <f aca="false">IF(OR(B544="",F544=""),"",F544-ROW()/100000)</f>
        <v/>
      </c>
      <c r="I544" s="0" t="str">
        <f aca="false">IF(H544="","",C544&amp;"|"&amp;(COUNTIFS($C$2:$C$1000,C544,$H$2:$H$1000,"&gt;"&amp;H544)+1))</f>
        <v/>
      </c>
    </row>
    <row r="545" customFormat="false" ht="15" hidden="false" customHeight="false" outlineLevel="0" collapsed="false">
      <c r="A545" s="8" t="str">
        <f aca="false">IF(F545="","",COUNTIF($F$2:$F$1000,"&gt;"&amp;F545)+1)</f>
        <v/>
      </c>
      <c r="B545" s="9"/>
      <c r="C545" s="10"/>
      <c r="D545" s="11" t="str">
        <f aca="false">IF(C545="","",IFERROR(INDEX(Summary!$B$2:$B$14,MATCH(C545,Summary!$A$2:$A$14,0)),"?"))</f>
        <v/>
      </c>
      <c r="E545" s="11" t="str">
        <f aca="false">IF(C545="","",IFERROR(INDEX(Summary!$C$2:$C$14,MATCH(C545,Summary!$A$2:$A$14,0)),"?"))</f>
        <v/>
      </c>
      <c r="F545" s="12"/>
      <c r="H545" s="0" t="str">
        <f aca="false">IF(OR(B545="",F545=""),"",F545-ROW()/100000)</f>
        <v/>
      </c>
      <c r="I545" s="0" t="str">
        <f aca="false">IF(H545="","",C545&amp;"|"&amp;(COUNTIFS($C$2:$C$1000,C545,$H$2:$H$1000,"&gt;"&amp;H545)+1))</f>
        <v/>
      </c>
    </row>
    <row r="546" customFormat="false" ht="15" hidden="false" customHeight="false" outlineLevel="0" collapsed="false">
      <c r="A546" s="8" t="str">
        <f aca="false">IF(F546="","",COUNTIF($F$2:$F$1000,"&gt;"&amp;F546)+1)</f>
        <v/>
      </c>
      <c r="B546" s="9"/>
      <c r="C546" s="10"/>
      <c r="D546" s="11" t="str">
        <f aca="false">IF(C546="","",IFERROR(INDEX(Summary!$B$2:$B$14,MATCH(C546,Summary!$A$2:$A$14,0)),"?"))</f>
        <v/>
      </c>
      <c r="E546" s="11" t="str">
        <f aca="false">IF(C546="","",IFERROR(INDEX(Summary!$C$2:$C$14,MATCH(C546,Summary!$A$2:$A$14,0)),"?"))</f>
        <v/>
      </c>
      <c r="F546" s="12"/>
      <c r="H546" s="0" t="str">
        <f aca="false">IF(OR(B546="",F546=""),"",F546-ROW()/100000)</f>
        <v/>
      </c>
      <c r="I546" s="0" t="str">
        <f aca="false">IF(H546="","",C546&amp;"|"&amp;(COUNTIFS($C$2:$C$1000,C546,$H$2:$H$1000,"&gt;"&amp;H546)+1))</f>
        <v/>
      </c>
    </row>
    <row r="547" customFormat="false" ht="15" hidden="false" customHeight="false" outlineLevel="0" collapsed="false">
      <c r="A547" s="8" t="str">
        <f aca="false">IF(F547="","",COUNTIF($F$2:$F$1000,"&gt;"&amp;F547)+1)</f>
        <v/>
      </c>
      <c r="B547" s="9"/>
      <c r="C547" s="10"/>
      <c r="D547" s="11" t="str">
        <f aca="false">IF(C547="","",IFERROR(INDEX(Summary!$B$2:$B$14,MATCH(C547,Summary!$A$2:$A$14,0)),"?"))</f>
        <v/>
      </c>
      <c r="E547" s="11" t="str">
        <f aca="false">IF(C547="","",IFERROR(INDEX(Summary!$C$2:$C$14,MATCH(C547,Summary!$A$2:$A$14,0)),"?"))</f>
        <v/>
      </c>
      <c r="F547" s="12"/>
      <c r="H547" s="0" t="str">
        <f aca="false">IF(OR(B547="",F547=""),"",F547-ROW()/100000)</f>
        <v/>
      </c>
      <c r="I547" s="0" t="str">
        <f aca="false">IF(H547="","",C547&amp;"|"&amp;(COUNTIFS($C$2:$C$1000,C547,$H$2:$H$1000,"&gt;"&amp;H547)+1))</f>
        <v/>
      </c>
    </row>
    <row r="548" customFormat="false" ht="15" hidden="false" customHeight="false" outlineLevel="0" collapsed="false">
      <c r="A548" s="8" t="str">
        <f aca="false">IF(F548="","",COUNTIF($F$2:$F$1000,"&gt;"&amp;F548)+1)</f>
        <v/>
      </c>
      <c r="B548" s="9"/>
      <c r="C548" s="10"/>
      <c r="D548" s="11" t="str">
        <f aca="false">IF(C548="","",IFERROR(INDEX(Summary!$B$2:$B$14,MATCH(C548,Summary!$A$2:$A$14,0)),"?"))</f>
        <v/>
      </c>
      <c r="E548" s="11" t="str">
        <f aca="false">IF(C548="","",IFERROR(INDEX(Summary!$C$2:$C$14,MATCH(C548,Summary!$A$2:$A$14,0)),"?"))</f>
        <v/>
      </c>
      <c r="F548" s="12"/>
      <c r="H548" s="0" t="str">
        <f aca="false">IF(OR(B548="",F548=""),"",F548-ROW()/100000)</f>
        <v/>
      </c>
      <c r="I548" s="0" t="str">
        <f aca="false">IF(H548="","",C548&amp;"|"&amp;(COUNTIFS($C$2:$C$1000,C548,$H$2:$H$1000,"&gt;"&amp;H548)+1))</f>
        <v/>
      </c>
    </row>
    <row r="549" customFormat="false" ht="15" hidden="false" customHeight="false" outlineLevel="0" collapsed="false">
      <c r="A549" s="8" t="str">
        <f aca="false">IF(F549="","",COUNTIF($F$2:$F$1000,"&gt;"&amp;F549)+1)</f>
        <v/>
      </c>
      <c r="B549" s="9"/>
      <c r="C549" s="10"/>
      <c r="D549" s="11" t="str">
        <f aca="false">IF(C549="","",IFERROR(INDEX(Summary!$B$2:$B$14,MATCH(C549,Summary!$A$2:$A$14,0)),"?"))</f>
        <v/>
      </c>
      <c r="E549" s="11" t="str">
        <f aca="false">IF(C549="","",IFERROR(INDEX(Summary!$C$2:$C$14,MATCH(C549,Summary!$A$2:$A$14,0)),"?"))</f>
        <v/>
      </c>
      <c r="F549" s="12"/>
      <c r="H549" s="0" t="str">
        <f aca="false">IF(OR(B549="",F549=""),"",F549-ROW()/100000)</f>
        <v/>
      </c>
      <c r="I549" s="0" t="str">
        <f aca="false">IF(H549="","",C549&amp;"|"&amp;(COUNTIFS($C$2:$C$1000,C549,$H$2:$H$1000,"&gt;"&amp;H549)+1))</f>
        <v/>
      </c>
    </row>
    <row r="550" customFormat="false" ht="15" hidden="false" customHeight="false" outlineLevel="0" collapsed="false">
      <c r="A550" s="8" t="str">
        <f aca="false">IF(F550="","",COUNTIF($F$2:$F$1000,"&gt;"&amp;F550)+1)</f>
        <v/>
      </c>
      <c r="B550" s="9"/>
      <c r="C550" s="10"/>
      <c r="D550" s="11" t="str">
        <f aca="false">IF(C550="","",IFERROR(INDEX(Summary!$B$2:$B$14,MATCH(C550,Summary!$A$2:$A$14,0)),"?"))</f>
        <v/>
      </c>
      <c r="E550" s="11" t="str">
        <f aca="false">IF(C550="","",IFERROR(INDEX(Summary!$C$2:$C$14,MATCH(C550,Summary!$A$2:$A$14,0)),"?"))</f>
        <v/>
      </c>
      <c r="F550" s="12"/>
      <c r="H550" s="0" t="str">
        <f aca="false">IF(OR(B550="",F550=""),"",F550-ROW()/100000)</f>
        <v/>
      </c>
      <c r="I550" s="0" t="str">
        <f aca="false">IF(H550="","",C550&amp;"|"&amp;(COUNTIFS($C$2:$C$1000,C550,$H$2:$H$1000,"&gt;"&amp;H550)+1))</f>
        <v/>
      </c>
    </row>
    <row r="551" customFormat="false" ht="15" hidden="false" customHeight="false" outlineLevel="0" collapsed="false">
      <c r="A551" s="8" t="str">
        <f aca="false">IF(F551="","",COUNTIF($F$2:$F$1000,"&gt;"&amp;F551)+1)</f>
        <v/>
      </c>
      <c r="B551" s="9"/>
      <c r="C551" s="10"/>
      <c r="D551" s="11" t="str">
        <f aca="false">IF(C551="","",IFERROR(INDEX(Summary!$B$2:$B$14,MATCH(C551,Summary!$A$2:$A$14,0)),"?"))</f>
        <v/>
      </c>
      <c r="E551" s="11" t="str">
        <f aca="false">IF(C551="","",IFERROR(INDEX(Summary!$C$2:$C$14,MATCH(C551,Summary!$A$2:$A$14,0)),"?"))</f>
        <v/>
      </c>
      <c r="F551" s="12"/>
      <c r="H551" s="0" t="str">
        <f aca="false">IF(OR(B551="",F551=""),"",F551-ROW()/100000)</f>
        <v/>
      </c>
      <c r="I551" s="0" t="str">
        <f aca="false">IF(H551="","",C551&amp;"|"&amp;(COUNTIFS($C$2:$C$1000,C551,$H$2:$H$1000,"&gt;"&amp;H551)+1))</f>
        <v/>
      </c>
    </row>
    <row r="552" customFormat="false" ht="15" hidden="false" customHeight="false" outlineLevel="0" collapsed="false">
      <c r="A552" s="8" t="str">
        <f aca="false">IF(F552="","",COUNTIF($F$2:$F$1000,"&gt;"&amp;F552)+1)</f>
        <v/>
      </c>
      <c r="B552" s="9"/>
      <c r="C552" s="10"/>
      <c r="D552" s="11" t="str">
        <f aca="false">IF(C552="","",IFERROR(INDEX(Summary!$B$2:$B$14,MATCH(C552,Summary!$A$2:$A$14,0)),"?"))</f>
        <v/>
      </c>
      <c r="E552" s="11" t="str">
        <f aca="false">IF(C552="","",IFERROR(INDEX(Summary!$C$2:$C$14,MATCH(C552,Summary!$A$2:$A$14,0)),"?"))</f>
        <v/>
      </c>
      <c r="F552" s="12"/>
      <c r="H552" s="0" t="str">
        <f aca="false">IF(OR(B552="",F552=""),"",F552-ROW()/100000)</f>
        <v/>
      </c>
      <c r="I552" s="0" t="str">
        <f aca="false">IF(H552="","",C552&amp;"|"&amp;(COUNTIFS($C$2:$C$1000,C552,$H$2:$H$1000,"&gt;"&amp;H552)+1))</f>
        <v/>
      </c>
    </row>
    <row r="553" customFormat="false" ht="15" hidden="false" customHeight="false" outlineLevel="0" collapsed="false">
      <c r="A553" s="8" t="str">
        <f aca="false">IF(F553="","",COUNTIF($F$2:$F$1000,"&gt;"&amp;F553)+1)</f>
        <v/>
      </c>
      <c r="B553" s="9"/>
      <c r="C553" s="10"/>
      <c r="D553" s="11" t="str">
        <f aca="false">IF(C553="","",IFERROR(INDEX(Summary!$B$2:$B$14,MATCH(C553,Summary!$A$2:$A$14,0)),"?"))</f>
        <v/>
      </c>
      <c r="E553" s="11" t="str">
        <f aca="false">IF(C553="","",IFERROR(INDEX(Summary!$C$2:$C$14,MATCH(C553,Summary!$A$2:$A$14,0)),"?"))</f>
        <v/>
      </c>
      <c r="F553" s="12"/>
      <c r="H553" s="0" t="str">
        <f aca="false">IF(OR(B553="",F553=""),"",F553-ROW()/100000)</f>
        <v/>
      </c>
      <c r="I553" s="0" t="str">
        <f aca="false">IF(H553="","",C553&amp;"|"&amp;(COUNTIFS($C$2:$C$1000,C553,$H$2:$H$1000,"&gt;"&amp;H553)+1))</f>
        <v/>
      </c>
    </row>
    <row r="554" customFormat="false" ht="15" hidden="false" customHeight="false" outlineLevel="0" collapsed="false">
      <c r="A554" s="8" t="str">
        <f aca="false">IF(F554="","",COUNTIF($F$2:$F$1000,"&gt;"&amp;F554)+1)</f>
        <v/>
      </c>
      <c r="B554" s="9"/>
      <c r="C554" s="10"/>
      <c r="D554" s="11" t="str">
        <f aca="false">IF(C554="","",IFERROR(INDEX(Summary!$B$2:$B$14,MATCH(C554,Summary!$A$2:$A$14,0)),"?"))</f>
        <v/>
      </c>
      <c r="E554" s="11" t="str">
        <f aca="false">IF(C554="","",IFERROR(INDEX(Summary!$C$2:$C$14,MATCH(C554,Summary!$A$2:$A$14,0)),"?"))</f>
        <v/>
      </c>
      <c r="F554" s="12"/>
      <c r="H554" s="0" t="str">
        <f aca="false">IF(OR(B554="",F554=""),"",F554-ROW()/100000)</f>
        <v/>
      </c>
      <c r="I554" s="0" t="str">
        <f aca="false">IF(H554="","",C554&amp;"|"&amp;(COUNTIFS($C$2:$C$1000,C554,$H$2:$H$1000,"&gt;"&amp;H554)+1))</f>
        <v/>
      </c>
    </row>
    <row r="555" customFormat="false" ht="15" hidden="false" customHeight="false" outlineLevel="0" collapsed="false">
      <c r="A555" s="8" t="str">
        <f aca="false">IF(F555="","",COUNTIF($F$2:$F$1000,"&gt;"&amp;F555)+1)</f>
        <v/>
      </c>
      <c r="B555" s="9"/>
      <c r="C555" s="10"/>
      <c r="D555" s="11" t="str">
        <f aca="false">IF(C555="","",IFERROR(INDEX(Summary!$B$2:$B$14,MATCH(C555,Summary!$A$2:$A$14,0)),"?"))</f>
        <v/>
      </c>
      <c r="E555" s="11" t="str">
        <f aca="false">IF(C555="","",IFERROR(INDEX(Summary!$C$2:$C$14,MATCH(C555,Summary!$A$2:$A$14,0)),"?"))</f>
        <v/>
      </c>
      <c r="F555" s="12"/>
      <c r="H555" s="0" t="str">
        <f aca="false">IF(OR(B555="",F555=""),"",F555-ROW()/100000)</f>
        <v/>
      </c>
      <c r="I555" s="0" t="str">
        <f aca="false">IF(H555="","",C555&amp;"|"&amp;(COUNTIFS($C$2:$C$1000,C555,$H$2:$H$1000,"&gt;"&amp;H555)+1))</f>
        <v/>
      </c>
    </row>
    <row r="556" customFormat="false" ht="15" hidden="false" customHeight="false" outlineLevel="0" collapsed="false">
      <c r="A556" s="8" t="str">
        <f aca="false">IF(F556="","",COUNTIF($F$2:$F$1000,"&gt;"&amp;F556)+1)</f>
        <v/>
      </c>
      <c r="B556" s="9"/>
      <c r="C556" s="10"/>
      <c r="D556" s="11" t="str">
        <f aca="false">IF(C556="","",IFERROR(INDEX(Summary!$B$2:$B$14,MATCH(C556,Summary!$A$2:$A$14,0)),"?"))</f>
        <v/>
      </c>
      <c r="E556" s="11" t="str">
        <f aca="false">IF(C556="","",IFERROR(INDEX(Summary!$C$2:$C$14,MATCH(C556,Summary!$A$2:$A$14,0)),"?"))</f>
        <v/>
      </c>
      <c r="F556" s="12"/>
      <c r="H556" s="0" t="str">
        <f aca="false">IF(OR(B556="",F556=""),"",F556-ROW()/100000)</f>
        <v/>
      </c>
      <c r="I556" s="0" t="str">
        <f aca="false">IF(H556="","",C556&amp;"|"&amp;(COUNTIFS($C$2:$C$1000,C556,$H$2:$H$1000,"&gt;"&amp;H556)+1))</f>
        <v/>
      </c>
    </row>
    <row r="557" customFormat="false" ht="15" hidden="false" customHeight="false" outlineLevel="0" collapsed="false">
      <c r="A557" s="8" t="str">
        <f aca="false">IF(F557="","",COUNTIF($F$2:$F$1000,"&gt;"&amp;F557)+1)</f>
        <v/>
      </c>
      <c r="B557" s="9"/>
      <c r="C557" s="10"/>
      <c r="D557" s="11" t="str">
        <f aca="false">IF(C557="","",IFERROR(INDEX(Summary!$B$2:$B$14,MATCH(C557,Summary!$A$2:$A$14,0)),"?"))</f>
        <v/>
      </c>
      <c r="E557" s="11" t="str">
        <f aca="false">IF(C557="","",IFERROR(INDEX(Summary!$C$2:$C$14,MATCH(C557,Summary!$A$2:$A$14,0)),"?"))</f>
        <v/>
      </c>
      <c r="F557" s="12"/>
      <c r="H557" s="0" t="str">
        <f aca="false">IF(OR(B557="",F557=""),"",F557-ROW()/100000)</f>
        <v/>
      </c>
      <c r="I557" s="0" t="str">
        <f aca="false">IF(H557="","",C557&amp;"|"&amp;(COUNTIFS($C$2:$C$1000,C557,$H$2:$H$1000,"&gt;"&amp;H557)+1))</f>
        <v/>
      </c>
    </row>
    <row r="558" customFormat="false" ht="15" hidden="false" customHeight="false" outlineLevel="0" collapsed="false">
      <c r="A558" s="8" t="str">
        <f aca="false">IF(F558="","",COUNTIF($F$2:$F$1000,"&gt;"&amp;F558)+1)</f>
        <v/>
      </c>
      <c r="B558" s="9"/>
      <c r="C558" s="10"/>
      <c r="D558" s="11" t="str">
        <f aca="false">IF(C558="","",IFERROR(INDEX(Summary!$B$2:$B$14,MATCH(C558,Summary!$A$2:$A$14,0)),"?"))</f>
        <v/>
      </c>
      <c r="E558" s="11" t="str">
        <f aca="false">IF(C558="","",IFERROR(INDEX(Summary!$C$2:$C$14,MATCH(C558,Summary!$A$2:$A$14,0)),"?"))</f>
        <v/>
      </c>
      <c r="F558" s="12"/>
      <c r="H558" s="0" t="str">
        <f aca="false">IF(OR(B558="",F558=""),"",F558-ROW()/100000)</f>
        <v/>
      </c>
      <c r="I558" s="0" t="str">
        <f aca="false">IF(H558="","",C558&amp;"|"&amp;(COUNTIFS($C$2:$C$1000,C558,$H$2:$H$1000,"&gt;"&amp;H558)+1))</f>
        <v/>
      </c>
    </row>
    <row r="559" customFormat="false" ht="15" hidden="false" customHeight="false" outlineLevel="0" collapsed="false">
      <c r="A559" s="8" t="str">
        <f aca="false">IF(F559="","",COUNTIF($F$2:$F$1000,"&gt;"&amp;F559)+1)</f>
        <v/>
      </c>
      <c r="B559" s="9"/>
      <c r="C559" s="10"/>
      <c r="D559" s="11" t="str">
        <f aca="false">IF(C559="","",IFERROR(INDEX(Summary!$B$2:$B$14,MATCH(C559,Summary!$A$2:$A$14,0)),"?"))</f>
        <v/>
      </c>
      <c r="E559" s="11" t="str">
        <f aca="false">IF(C559="","",IFERROR(INDEX(Summary!$C$2:$C$14,MATCH(C559,Summary!$A$2:$A$14,0)),"?"))</f>
        <v/>
      </c>
      <c r="F559" s="12"/>
      <c r="H559" s="0" t="str">
        <f aca="false">IF(OR(B559="",F559=""),"",F559-ROW()/100000)</f>
        <v/>
      </c>
      <c r="I559" s="0" t="str">
        <f aca="false">IF(H559="","",C559&amp;"|"&amp;(COUNTIFS($C$2:$C$1000,C559,$H$2:$H$1000,"&gt;"&amp;H559)+1))</f>
        <v/>
      </c>
    </row>
    <row r="560" customFormat="false" ht="15" hidden="false" customHeight="false" outlineLevel="0" collapsed="false">
      <c r="A560" s="8" t="str">
        <f aca="false">IF(F560="","",COUNTIF($F$2:$F$1000,"&gt;"&amp;F560)+1)</f>
        <v/>
      </c>
      <c r="B560" s="9"/>
      <c r="C560" s="10"/>
      <c r="D560" s="11" t="str">
        <f aca="false">IF(C560="","",IFERROR(INDEX(Summary!$B$2:$B$14,MATCH(C560,Summary!$A$2:$A$14,0)),"?"))</f>
        <v/>
      </c>
      <c r="E560" s="11" t="str">
        <f aca="false">IF(C560="","",IFERROR(INDEX(Summary!$C$2:$C$14,MATCH(C560,Summary!$A$2:$A$14,0)),"?"))</f>
        <v/>
      </c>
      <c r="F560" s="12"/>
      <c r="H560" s="0" t="str">
        <f aca="false">IF(OR(B560="",F560=""),"",F560-ROW()/100000)</f>
        <v/>
      </c>
      <c r="I560" s="0" t="str">
        <f aca="false">IF(H560="","",C560&amp;"|"&amp;(COUNTIFS($C$2:$C$1000,C560,$H$2:$H$1000,"&gt;"&amp;H560)+1))</f>
        <v/>
      </c>
    </row>
    <row r="561" customFormat="false" ht="15" hidden="false" customHeight="false" outlineLevel="0" collapsed="false">
      <c r="A561" s="8" t="str">
        <f aca="false">IF(F561="","",COUNTIF($F$2:$F$1000,"&gt;"&amp;F561)+1)</f>
        <v/>
      </c>
      <c r="B561" s="9"/>
      <c r="C561" s="10"/>
      <c r="D561" s="11" t="str">
        <f aca="false">IF(C561="","",IFERROR(INDEX(Summary!$B$2:$B$14,MATCH(C561,Summary!$A$2:$A$14,0)),"?"))</f>
        <v/>
      </c>
      <c r="E561" s="11" t="str">
        <f aca="false">IF(C561="","",IFERROR(INDEX(Summary!$C$2:$C$14,MATCH(C561,Summary!$A$2:$A$14,0)),"?"))</f>
        <v/>
      </c>
      <c r="F561" s="12"/>
      <c r="H561" s="0" t="str">
        <f aca="false">IF(OR(B561="",F561=""),"",F561-ROW()/100000)</f>
        <v/>
      </c>
      <c r="I561" s="0" t="str">
        <f aca="false">IF(H561="","",C561&amp;"|"&amp;(COUNTIFS($C$2:$C$1000,C561,$H$2:$H$1000,"&gt;"&amp;H561)+1))</f>
        <v/>
      </c>
    </row>
    <row r="562" customFormat="false" ht="15" hidden="false" customHeight="false" outlineLevel="0" collapsed="false">
      <c r="A562" s="8" t="str">
        <f aca="false">IF(F562="","",COUNTIF($F$2:$F$1000,"&gt;"&amp;F562)+1)</f>
        <v/>
      </c>
      <c r="B562" s="9"/>
      <c r="C562" s="10"/>
      <c r="D562" s="11" t="str">
        <f aca="false">IF(C562="","",IFERROR(INDEX(Summary!$B$2:$B$14,MATCH(C562,Summary!$A$2:$A$14,0)),"?"))</f>
        <v/>
      </c>
      <c r="E562" s="11" t="str">
        <f aca="false">IF(C562="","",IFERROR(INDEX(Summary!$C$2:$C$14,MATCH(C562,Summary!$A$2:$A$14,0)),"?"))</f>
        <v/>
      </c>
      <c r="F562" s="12"/>
      <c r="H562" s="0" t="str">
        <f aca="false">IF(OR(B562="",F562=""),"",F562-ROW()/100000)</f>
        <v/>
      </c>
      <c r="I562" s="0" t="str">
        <f aca="false">IF(H562="","",C562&amp;"|"&amp;(COUNTIFS($C$2:$C$1000,C562,$H$2:$H$1000,"&gt;"&amp;H562)+1))</f>
        <v/>
      </c>
    </row>
    <row r="563" customFormat="false" ht="15" hidden="false" customHeight="false" outlineLevel="0" collapsed="false">
      <c r="A563" s="8" t="str">
        <f aca="false">IF(F563="","",COUNTIF($F$2:$F$1000,"&gt;"&amp;F563)+1)</f>
        <v/>
      </c>
      <c r="B563" s="9"/>
      <c r="C563" s="10"/>
      <c r="D563" s="11" t="str">
        <f aca="false">IF(C563="","",IFERROR(INDEX(Summary!$B$2:$B$14,MATCH(C563,Summary!$A$2:$A$14,0)),"?"))</f>
        <v/>
      </c>
      <c r="E563" s="11" t="str">
        <f aca="false">IF(C563="","",IFERROR(INDEX(Summary!$C$2:$C$14,MATCH(C563,Summary!$A$2:$A$14,0)),"?"))</f>
        <v/>
      </c>
      <c r="F563" s="12"/>
      <c r="H563" s="0" t="str">
        <f aca="false">IF(OR(B563="",F563=""),"",F563-ROW()/100000)</f>
        <v/>
      </c>
      <c r="I563" s="0" t="str">
        <f aca="false">IF(H563="","",C563&amp;"|"&amp;(COUNTIFS($C$2:$C$1000,C563,$H$2:$H$1000,"&gt;"&amp;H563)+1))</f>
        <v/>
      </c>
    </row>
    <row r="564" customFormat="false" ht="15" hidden="false" customHeight="false" outlineLevel="0" collapsed="false">
      <c r="A564" s="8" t="str">
        <f aca="false">IF(F564="","",COUNTIF($F$2:$F$1000,"&gt;"&amp;F564)+1)</f>
        <v/>
      </c>
      <c r="B564" s="9"/>
      <c r="C564" s="10"/>
      <c r="D564" s="11" t="str">
        <f aca="false">IF(C564="","",IFERROR(INDEX(Summary!$B$2:$B$14,MATCH(C564,Summary!$A$2:$A$14,0)),"?"))</f>
        <v/>
      </c>
      <c r="E564" s="11" t="str">
        <f aca="false">IF(C564="","",IFERROR(INDEX(Summary!$C$2:$C$14,MATCH(C564,Summary!$A$2:$A$14,0)),"?"))</f>
        <v/>
      </c>
      <c r="F564" s="12"/>
      <c r="H564" s="0" t="str">
        <f aca="false">IF(OR(B564="",F564=""),"",F564-ROW()/100000)</f>
        <v/>
      </c>
      <c r="I564" s="0" t="str">
        <f aca="false">IF(H564="","",C564&amp;"|"&amp;(COUNTIFS($C$2:$C$1000,C564,$H$2:$H$1000,"&gt;"&amp;H564)+1))</f>
        <v/>
      </c>
    </row>
    <row r="565" customFormat="false" ht="15" hidden="false" customHeight="false" outlineLevel="0" collapsed="false">
      <c r="A565" s="8" t="str">
        <f aca="false">IF(F565="","",COUNTIF($F$2:$F$1000,"&gt;"&amp;F565)+1)</f>
        <v/>
      </c>
      <c r="B565" s="9"/>
      <c r="C565" s="10"/>
      <c r="D565" s="11" t="str">
        <f aca="false">IF(C565="","",IFERROR(INDEX(Summary!$B$2:$B$14,MATCH(C565,Summary!$A$2:$A$14,0)),"?"))</f>
        <v/>
      </c>
      <c r="E565" s="11" t="str">
        <f aca="false">IF(C565="","",IFERROR(INDEX(Summary!$C$2:$C$14,MATCH(C565,Summary!$A$2:$A$14,0)),"?"))</f>
        <v/>
      </c>
      <c r="F565" s="12"/>
      <c r="H565" s="0" t="str">
        <f aca="false">IF(OR(B565="",F565=""),"",F565-ROW()/100000)</f>
        <v/>
      </c>
      <c r="I565" s="0" t="str">
        <f aca="false">IF(H565="","",C565&amp;"|"&amp;(COUNTIFS($C$2:$C$1000,C565,$H$2:$H$1000,"&gt;"&amp;H565)+1))</f>
        <v/>
      </c>
    </row>
    <row r="566" customFormat="false" ht="15" hidden="false" customHeight="false" outlineLevel="0" collapsed="false">
      <c r="A566" s="8" t="str">
        <f aca="false">IF(F566="","",COUNTIF($F$2:$F$1000,"&gt;"&amp;F566)+1)</f>
        <v/>
      </c>
      <c r="B566" s="9"/>
      <c r="C566" s="10"/>
      <c r="D566" s="11" t="str">
        <f aca="false">IF(C566="","",IFERROR(INDEX(Summary!$B$2:$B$14,MATCH(C566,Summary!$A$2:$A$14,0)),"?"))</f>
        <v/>
      </c>
      <c r="E566" s="11" t="str">
        <f aca="false">IF(C566="","",IFERROR(INDEX(Summary!$C$2:$C$14,MATCH(C566,Summary!$A$2:$A$14,0)),"?"))</f>
        <v/>
      </c>
      <c r="F566" s="12"/>
      <c r="H566" s="0" t="str">
        <f aca="false">IF(OR(B566="",F566=""),"",F566-ROW()/100000)</f>
        <v/>
      </c>
      <c r="I566" s="0" t="str">
        <f aca="false">IF(H566="","",C566&amp;"|"&amp;(COUNTIFS($C$2:$C$1000,C566,$H$2:$H$1000,"&gt;"&amp;H566)+1))</f>
        <v/>
      </c>
    </row>
    <row r="567" customFormat="false" ht="15" hidden="false" customHeight="false" outlineLevel="0" collapsed="false">
      <c r="A567" s="8" t="str">
        <f aca="false">IF(F567="","",COUNTIF($F$2:$F$1000,"&gt;"&amp;F567)+1)</f>
        <v/>
      </c>
      <c r="B567" s="9"/>
      <c r="C567" s="10"/>
      <c r="D567" s="11" t="str">
        <f aca="false">IF(C567="","",IFERROR(INDEX(Summary!$B$2:$B$14,MATCH(C567,Summary!$A$2:$A$14,0)),"?"))</f>
        <v/>
      </c>
      <c r="E567" s="11" t="str">
        <f aca="false">IF(C567="","",IFERROR(INDEX(Summary!$C$2:$C$14,MATCH(C567,Summary!$A$2:$A$14,0)),"?"))</f>
        <v/>
      </c>
      <c r="F567" s="12"/>
      <c r="H567" s="0" t="str">
        <f aca="false">IF(OR(B567="",F567=""),"",F567-ROW()/100000)</f>
        <v/>
      </c>
      <c r="I567" s="0" t="str">
        <f aca="false">IF(H567="","",C567&amp;"|"&amp;(COUNTIFS($C$2:$C$1000,C567,$H$2:$H$1000,"&gt;"&amp;H567)+1))</f>
        <v/>
      </c>
    </row>
    <row r="568" customFormat="false" ht="15" hidden="false" customHeight="false" outlineLevel="0" collapsed="false">
      <c r="A568" s="8" t="str">
        <f aca="false">IF(F568="","",COUNTIF($F$2:$F$1000,"&gt;"&amp;F568)+1)</f>
        <v/>
      </c>
      <c r="B568" s="9"/>
      <c r="C568" s="10"/>
      <c r="D568" s="11" t="str">
        <f aca="false">IF(C568="","",IFERROR(INDEX(Summary!$B$2:$B$14,MATCH(C568,Summary!$A$2:$A$14,0)),"?"))</f>
        <v/>
      </c>
      <c r="E568" s="11" t="str">
        <f aca="false">IF(C568="","",IFERROR(INDEX(Summary!$C$2:$C$14,MATCH(C568,Summary!$A$2:$A$14,0)),"?"))</f>
        <v/>
      </c>
      <c r="F568" s="12"/>
      <c r="H568" s="0" t="str">
        <f aca="false">IF(OR(B568="",F568=""),"",F568-ROW()/100000)</f>
        <v/>
      </c>
      <c r="I568" s="0" t="str">
        <f aca="false">IF(H568="","",C568&amp;"|"&amp;(COUNTIFS($C$2:$C$1000,C568,$H$2:$H$1000,"&gt;"&amp;H568)+1))</f>
        <v/>
      </c>
    </row>
    <row r="569" customFormat="false" ht="15" hidden="false" customHeight="false" outlineLevel="0" collapsed="false">
      <c r="A569" s="8" t="str">
        <f aca="false">IF(F569="","",COUNTIF($F$2:$F$1000,"&gt;"&amp;F569)+1)</f>
        <v/>
      </c>
      <c r="B569" s="9"/>
      <c r="C569" s="10"/>
      <c r="D569" s="11" t="str">
        <f aca="false">IF(C569="","",IFERROR(INDEX(Summary!$B$2:$B$14,MATCH(C569,Summary!$A$2:$A$14,0)),"?"))</f>
        <v/>
      </c>
      <c r="E569" s="11" t="str">
        <f aca="false">IF(C569="","",IFERROR(INDEX(Summary!$C$2:$C$14,MATCH(C569,Summary!$A$2:$A$14,0)),"?"))</f>
        <v/>
      </c>
      <c r="F569" s="12"/>
      <c r="H569" s="0" t="str">
        <f aca="false">IF(OR(B569="",F569=""),"",F569-ROW()/100000)</f>
        <v/>
      </c>
      <c r="I569" s="0" t="str">
        <f aca="false">IF(H569="","",C569&amp;"|"&amp;(COUNTIFS($C$2:$C$1000,C569,$H$2:$H$1000,"&gt;"&amp;H569)+1))</f>
        <v/>
      </c>
    </row>
    <row r="570" customFormat="false" ht="15" hidden="false" customHeight="false" outlineLevel="0" collapsed="false">
      <c r="A570" s="8" t="str">
        <f aca="false">IF(F570="","",COUNTIF($F$2:$F$1000,"&gt;"&amp;F570)+1)</f>
        <v/>
      </c>
      <c r="B570" s="9"/>
      <c r="C570" s="10"/>
      <c r="D570" s="11" t="str">
        <f aca="false">IF(C570="","",IFERROR(INDEX(Summary!$B$2:$B$14,MATCH(C570,Summary!$A$2:$A$14,0)),"?"))</f>
        <v/>
      </c>
      <c r="E570" s="11" t="str">
        <f aca="false">IF(C570="","",IFERROR(INDEX(Summary!$C$2:$C$14,MATCH(C570,Summary!$A$2:$A$14,0)),"?"))</f>
        <v/>
      </c>
      <c r="F570" s="12"/>
      <c r="H570" s="0" t="str">
        <f aca="false">IF(OR(B570="",F570=""),"",F570-ROW()/100000)</f>
        <v/>
      </c>
      <c r="I570" s="0" t="str">
        <f aca="false">IF(H570="","",C570&amp;"|"&amp;(COUNTIFS($C$2:$C$1000,C570,$H$2:$H$1000,"&gt;"&amp;H570)+1))</f>
        <v/>
      </c>
    </row>
    <row r="571" customFormat="false" ht="15" hidden="false" customHeight="false" outlineLevel="0" collapsed="false">
      <c r="A571" s="8" t="str">
        <f aca="false">IF(F571="","",COUNTIF($F$2:$F$1000,"&gt;"&amp;F571)+1)</f>
        <v/>
      </c>
      <c r="B571" s="9"/>
      <c r="C571" s="10"/>
      <c r="D571" s="11" t="str">
        <f aca="false">IF(C571="","",IFERROR(INDEX(Summary!$B$2:$B$14,MATCH(C571,Summary!$A$2:$A$14,0)),"?"))</f>
        <v/>
      </c>
      <c r="E571" s="11" t="str">
        <f aca="false">IF(C571="","",IFERROR(INDEX(Summary!$C$2:$C$14,MATCH(C571,Summary!$A$2:$A$14,0)),"?"))</f>
        <v/>
      </c>
      <c r="F571" s="12"/>
      <c r="H571" s="0" t="str">
        <f aca="false">IF(OR(B571="",F571=""),"",F571-ROW()/100000)</f>
        <v/>
      </c>
      <c r="I571" s="0" t="str">
        <f aca="false">IF(H571="","",C571&amp;"|"&amp;(COUNTIFS($C$2:$C$1000,C571,$H$2:$H$1000,"&gt;"&amp;H571)+1))</f>
        <v/>
      </c>
    </row>
    <row r="572" customFormat="false" ht="15" hidden="false" customHeight="false" outlineLevel="0" collapsed="false">
      <c r="A572" s="8" t="str">
        <f aca="false">IF(F572="","",COUNTIF($F$2:$F$1000,"&gt;"&amp;F572)+1)</f>
        <v/>
      </c>
      <c r="B572" s="9"/>
      <c r="C572" s="10"/>
      <c r="D572" s="11" t="str">
        <f aca="false">IF(C572="","",IFERROR(INDEX(Summary!$B$2:$B$14,MATCH(C572,Summary!$A$2:$A$14,0)),"?"))</f>
        <v/>
      </c>
      <c r="E572" s="11" t="str">
        <f aca="false">IF(C572="","",IFERROR(INDEX(Summary!$C$2:$C$14,MATCH(C572,Summary!$A$2:$A$14,0)),"?"))</f>
        <v/>
      </c>
      <c r="F572" s="12"/>
      <c r="H572" s="0" t="str">
        <f aca="false">IF(OR(B572="",F572=""),"",F572-ROW()/100000)</f>
        <v/>
      </c>
      <c r="I572" s="0" t="str">
        <f aca="false">IF(H572="","",C572&amp;"|"&amp;(COUNTIFS($C$2:$C$1000,C572,$H$2:$H$1000,"&gt;"&amp;H572)+1))</f>
        <v/>
      </c>
    </row>
    <row r="573" customFormat="false" ht="15" hidden="false" customHeight="false" outlineLevel="0" collapsed="false">
      <c r="A573" s="8" t="str">
        <f aca="false">IF(F573="","",COUNTIF($F$2:$F$1000,"&gt;"&amp;F573)+1)</f>
        <v/>
      </c>
      <c r="B573" s="9"/>
      <c r="C573" s="10"/>
      <c r="D573" s="11" t="str">
        <f aca="false">IF(C573="","",IFERROR(INDEX(Summary!$B$2:$B$14,MATCH(C573,Summary!$A$2:$A$14,0)),"?"))</f>
        <v/>
      </c>
      <c r="E573" s="11" t="str">
        <f aca="false">IF(C573="","",IFERROR(INDEX(Summary!$C$2:$C$14,MATCH(C573,Summary!$A$2:$A$14,0)),"?"))</f>
        <v/>
      </c>
      <c r="F573" s="12"/>
      <c r="H573" s="0" t="str">
        <f aca="false">IF(OR(B573="",F573=""),"",F573-ROW()/100000)</f>
        <v/>
      </c>
      <c r="I573" s="0" t="str">
        <f aca="false">IF(H573="","",C573&amp;"|"&amp;(COUNTIFS($C$2:$C$1000,C573,$H$2:$H$1000,"&gt;"&amp;H573)+1))</f>
        <v/>
      </c>
    </row>
    <row r="574" customFormat="false" ht="15" hidden="false" customHeight="false" outlineLevel="0" collapsed="false">
      <c r="A574" s="8" t="str">
        <f aca="false">IF(F574="","",COUNTIF($F$2:$F$1000,"&gt;"&amp;F574)+1)</f>
        <v/>
      </c>
      <c r="B574" s="9"/>
      <c r="C574" s="10"/>
      <c r="D574" s="11" t="str">
        <f aca="false">IF(C574="","",IFERROR(INDEX(Summary!$B$2:$B$14,MATCH(C574,Summary!$A$2:$A$14,0)),"?"))</f>
        <v/>
      </c>
      <c r="E574" s="11" t="str">
        <f aca="false">IF(C574="","",IFERROR(INDEX(Summary!$C$2:$C$14,MATCH(C574,Summary!$A$2:$A$14,0)),"?"))</f>
        <v/>
      </c>
      <c r="F574" s="12"/>
      <c r="H574" s="0" t="str">
        <f aca="false">IF(OR(B574="",F574=""),"",F574-ROW()/100000)</f>
        <v/>
      </c>
      <c r="I574" s="0" t="str">
        <f aca="false">IF(H574="","",C574&amp;"|"&amp;(COUNTIFS($C$2:$C$1000,C574,$H$2:$H$1000,"&gt;"&amp;H574)+1))</f>
        <v/>
      </c>
    </row>
    <row r="575" customFormat="false" ht="15" hidden="false" customHeight="false" outlineLevel="0" collapsed="false">
      <c r="A575" s="8" t="str">
        <f aca="false">IF(F575="","",COUNTIF($F$2:$F$1000,"&gt;"&amp;F575)+1)</f>
        <v/>
      </c>
      <c r="B575" s="9"/>
      <c r="C575" s="10"/>
      <c r="D575" s="11" t="str">
        <f aca="false">IF(C575="","",IFERROR(INDEX(Summary!$B$2:$B$14,MATCH(C575,Summary!$A$2:$A$14,0)),"?"))</f>
        <v/>
      </c>
      <c r="E575" s="11" t="str">
        <f aca="false">IF(C575="","",IFERROR(INDEX(Summary!$C$2:$C$14,MATCH(C575,Summary!$A$2:$A$14,0)),"?"))</f>
        <v/>
      </c>
      <c r="F575" s="12"/>
      <c r="H575" s="0" t="str">
        <f aca="false">IF(OR(B575="",F575=""),"",F575-ROW()/100000)</f>
        <v/>
      </c>
      <c r="I575" s="0" t="str">
        <f aca="false">IF(H575="","",C575&amp;"|"&amp;(COUNTIFS($C$2:$C$1000,C575,$H$2:$H$1000,"&gt;"&amp;H575)+1))</f>
        <v/>
      </c>
    </row>
    <row r="576" customFormat="false" ht="15" hidden="false" customHeight="false" outlineLevel="0" collapsed="false">
      <c r="A576" s="8" t="str">
        <f aca="false">IF(F576="","",COUNTIF($F$2:$F$1000,"&gt;"&amp;F576)+1)</f>
        <v/>
      </c>
      <c r="B576" s="9"/>
      <c r="C576" s="10"/>
      <c r="D576" s="11" t="str">
        <f aca="false">IF(C576="","",IFERROR(INDEX(Summary!$B$2:$B$14,MATCH(C576,Summary!$A$2:$A$14,0)),"?"))</f>
        <v/>
      </c>
      <c r="E576" s="11" t="str">
        <f aca="false">IF(C576="","",IFERROR(INDEX(Summary!$C$2:$C$14,MATCH(C576,Summary!$A$2:$A$14,0)),"?"))</f>
        <v/>
      </c>
      <c r="F576" s="12"/>
      <c r="H576" s="0" t="str">
        <f aca="false">IF(OR(B576="",F576=""),"",F576-ROW()/100000)</f>
        <v/>
      </c>
      <c r="I576" s="0" t="str">
        <f aca="false">IF(H576="","",C576&amp;"|"&amp;(COUNTIFS($C$2:$C$1000,C576,$H$2:$H$1000,"&gt;"&amp;H576)+1))</f>
        <v/>
      </c>
    </row>
    <row r="577" customFormat="false" ht="15" hidden="false" customHeight="false" outlineLevel="0" collapsed="false">
      <c r="A577" s="8" t="str">
        <f aca="false">IF(F577="","",COUNTIF($F$2:$F$1000,"&gt;"&amp;F577)+1)</f>
        <v/>
      </c>
      <c r="B577" s="9"/>
      <c r="C577" s="10"/>
      <c r="D577" s="11" t="str">
        <f aca="false">IF(C577="","",IFERROR(INDEX(Summary!$B$2:$B$14,MATCH(C577,Summary!$A$2:$A$14,0)),"?"))</f>
        <v/>
      </c>
      <c r="E577" s="11" t="str">
        <f aca="false">IF(C577="","",IFERROR(INDEX(Summary!$C$2:$C$14,MATCH(C577,Summary!$A$2:$A$14,0)),"?"))</f>
        <v/>
      </c>
      <c r="F577" s="12"/>
      <c r="H577" s="0" t="str">
        <f aca="false">IF(OR(B577="",F577=""),"",F577-ROW()/100000)</f>
        <v/>
      </c>
      <c r="I577" s="0" t="str">
        <f aca="false">IF(H577="","",C577&amp;"|"&amp;(COUNTIFS($C$2:$C$1000,C577,$H$2:$H$1000,"&gt;"&amp;H577)+1))</f>
        <v/>
      </c>
    </row>
    <row r="578" customFormat="false" ht="15" hidden="false" customHeight="false" outlineLevel="0" collapsed="false">
      <c r="A578" s="8" t="str">
        <f aca="false">IF(F578="","",COUNTIF($F$2:$F$1000,"&gt;"&amp;F578)+1)</f>
        <v/>
      </c>
      <c r="B578" s="9"/>
      <c r="C578" s="10"/>
      <c r="D578" s="11" t="str">
        <f aca="false">IF(C578="","",IFERROR(INDEX(Summary!$B$2:$B$14,MATCH(C578,Summary!$A$2:$A$14,0)),"?"))</f>
        <v/>
      </c>
      <c r="E578" s="11" t="str">
        <f aca="false">IF(C578="","",IFERROR(INDEX(Summary!$C$2:$C$14,MATCH(C578,Summary!$A$2:$A$14,0)),"?"))</f>
        <v/>
      </c>
      <c r="F578" s="12"/>
      <c r="H578" s="0" t="str">
        <f aca="false">IF(OR(B578="",F578=""),"",F578-ROW()/100000)</f>
        <v/>
      </c>
      <c r="I578" s="0" t="str">
        <f aca="false">IF(H578="","",C578&amp;"|"&amp;(COUNTIFS($C$2:$C$1000,C578,$H$2:$H$1000,"&gt;"&amp;H578)+1))</f>
        <v/>
      </c>
    </row>
    <row r="579" customFormat="false" ht="15" hidden="false" customHeight="false" outlineLevel="0" collapsed="false">
      <c r="A579" s="8" t="str">
        <f aca="false">IF(F579="","",COUNTIF($F$2:$F$1000,"&gt;"&amp;F579)+1)</f>
        <v/>
      </c>
      <c r="B579" s="9"/>
      <c r="C579" s="10"/>
      <c r="D579" s="11" t="str">
        <f aca="false">IF(C579="","",IFERROR(INDEX(Summary!$B$2:$B$14,MATCH(C579,Summary!$A$2:$A$14,0)),"?"))</f>
        <v/>
      </c>
      <c r="E579" s="11" t="str">
        <f aca="false">IF(C579="","",IFERROR(INDEX(Summary!$C$2:$C$14,MATCH(C579,Summary!$A$2:$A$14,0)),"?"))</f>
        <v/>
      </c>
      <c r="F579" s="12"/>
      <c r="H579" s="0" t="str">
        <f aca="false">IF(OR(B579="",F579=""),"",F579-ROW()/100000)</f>
        <v/>
      </c>
      <c r="I579" s="0" t="str">
        <f aca="false">IF(H579="","",C579&amp;"|"&amp;(COUNTIFS($C$2:$C$1000,C579,$H$2:$H$1000,"&gt;"&amp;H579)+1))</f>
        <v/>
      </c>
    </row>
    <row r="580" customFormat="false" ht="15" hidden="false" customHeight="false" outlineLevel="0" collapsed="false">
      <c r="A580" s="8" t="str">
        <f aca="false">IF(F580="","",COUNTIF($F$2:$F$1000,"&gt;"&amp;F580)+1)</f>
        <v/>
      </c>
      <c r="B580" s="9"/>
      <c r="C580" s="10"/>
      <c r="D580" s="11" t="str">
        <f aca="false">IF(C580="","",IFERROR(INDEX(Summary!$B$2:$B$14,MATCH(C580,Summary!$A$2:$A$14,0)),"?"))</f>
        <v/>
      </c>
      <c r="E580" s="11" t="str">
        <f aca="false">IF(C580="","",IFERROR(INDEX(Summary!$C$2:$C$14,MATCH(C580,Summary!$A$2:$A$14,0)),"?"))</f>
        <v/>
      </c>
      <c r="F580" s="12"/>
      <c r="H580" s="0" t="str">
        <f aca="false">IF(OR(B580="",F580=""),"",F580-ROW()/100000)</f>
        <v/>
      </c>
      <c r="I580" s="0" t="str">
        <f aca="false">IF(H580="","",C580&amp;"|"&amp;(COUNTIFS($C$2:$C$1000,C580,$H$2:$H$1000,"&gt;"&amp;H580)+1))</f>
        <v/>
      </c>
    </row>
    <row r="581" customFormat="false" ht="15" hidden="false" customHeight="false" outlineLevel="0" collapsed="false">
      <c r="A581" s="8" t="str">
        <f aca="false">IF(F581="","",COUNTIF($F$2:$F$1000,"&gt;"&amp;F581)+1)</f>
        <v/>
      </c>
      <c r="B581" s="9"/>
      <c r="C581" s="10"/>
      <c r="D581" s="11" t="str">
        <f aca="false">IF(C581="","",IFERROR(INDEX(Summary!$B$2:$B$14,MATCH(C581,Summary!$A$2:$A$14,0)),"?"))</f>
        <v/>
      </c>
      <c r="E581" s="11" t="str">
        <f aca="false">IF(C581="","",IFERROR(INDEX(Summary!$C$2:$C$14,MATCH(C581,Summary!$A$2:$A$14,0)),"?"))</f>
        <v/>
      </c>
      <c r="F581" s="12"/>
      <c r="H581" s="0" t="str">
        <f aca="false">IF(OR(B581="",F581=""),"",F581-ROW()/100000)</f>
        <v/>
      </c>
      <c r="I581" s="0" t="str">
        <f aca="false">IF(H581="","",C581&amp;"|"&amp;(COUNTIFS($C$2:$C$1000,C581,$H$2:$H$1000,"&gt;"&amp;H581)+1))</f>
        <v/>
      </c>
    </row>
    <row r="582" customFormat="false" ht="15" hidden="false" customHeight="false" outlineLevel="0" collapsed="false">
      <c r="A582" s="8" t="str">
        <f aca="false">IF(F582="","",COUNTIF($F$2:$F$1000,"&gt;"&amp;F582)+1)</f>
        <v/>
      </c>
      <c r="B582" s="9"/>
      <c r="C582" s="10"/>
      <c r="D582" s="11" t="str">
        <f aca="false">IF(C582="","",IFERROR(INDEX(Summary!$B$2:$B$14,MATCH(C582,Summary!$A$2:$A$14,0)),"?"))</f>
        <v/>
      </c>
      <c r="E582" s="11" t="str">
        <f aca="false">IF(C582="","",IFERROR(INDEX(Summary!$C$2:$C$14,MATCH(C582,Summary!$A$2:$A$14,0)),"?"))</f>
        <v/>
      </c>
      <c r="F582" s="12"/>
      <c r="H582" s="0" t="str">
        <f aca="false">IF(OR(B582="",F582=""),"",F582-ROW()/100000)</f>
        <v/>
      </c>
      <c r="I582" s="0" t="str">
        <f aca="false">IF(H582="","",C582&amp;"|"&amp;(COUNTIFS($C$2:$C$1000,C582,$H$2:$H$1000,"&gt;"&amp;H582)+1))</f>
        <v/>
      </c>
    </row>
    <row r="583" customFormat="false" ht="15" hidden="false" customHeight="false" outlineLevel="0" collapsed="false">
      <c r="A583" s="8" t="str">
        <f aca="false">IF(F583="","",COUNTIF($F$2:$F$1000,"&gt;"&amp;F583)+1)</f>
        <v/>
      </c>
      <c r="B583" s="9"/>
      <c r="C583" s="10"/>
      <c r="D583" s="11" t="str">
        <f aca="false">IF(C583="","",IFERROR(INDEX(Summary!$B$2:$B$14,MATCH(C583,Summary!$A$2:$A$14,0)),"?"))</f>
        <v/>
      </c>
      <c r="E583" s="11" t="str">
        <f aca="false">IF(C583="","",IFERROR(INDEX(Summary!$C$2:$C$14,MATCH(C583,Summary!$A$2:$A$14,0)),"?"))</f>
        <v/>
      </c>
      <c r="F583" s="12"/>
      <c r="H583" s="0" t="str">
        <f aca="false">IF(OR(B583="",F583=""),"",F583-ROW()/100000)</f>
        <v/>
      </c>
      <c r="I583" s="0" t="str">
        <f aca="false">IF(H583="","",C583&amp;"|"&amp;(COUNTIFS($C$2:$C$1000,C583,$H$2:$H$1000,"&gt;"&amp;H583)+1))</f>
        <v/>
      </c>
    </row>
    <row r="584" customFormat="false" ht="15" hidden="false" customHeight="false" outlineLevel="0" collapsed="false">
      <c r="A584" s="8" t="str">
        <f aca="false">IF(F584="","",COUNTIF($F$2:$F$1000,"&gt;"&amp;F584)+1)</f>
        <v/>
      </c>
      <c r="B584" s="9"/>
      <c r="C584" s="10"/>
      <c r="D584" s="11" t="str">
        <f aca="false">IF(C584="","",IFERROR(INDEX(Summary!$B$2:$B$14,MATCH(C584,Summary!$A$2:$A$14,0)),"?"))</f>
        <v/>
      </c>
      <c r="E584" s="11" t="str">
        <f aca="false">IF(C584="","",IFERROR(INDEX(Summary!$C$2:$C$14,MATCH(C584,Summary!$A$2:$A$14,0)),"?"))</f>
        <v/>
      </c>
      <c r="F584" s="12"/>
      <c r="H584" s="0" t="str">
        <f aca="false">IF(OR(B584="",F584=""),"",F584-ROW()/100000)</f>
        <v/>
      </c>
      <c r="I584" s="0" t="str">
        <f aca="false">IF(H584="","",C584&amp;"|"&amp;(COUNTIFS($C$2:$C$1000,C584,$H$2:$H$1000,"&gt;"&amp;H584)+1))</f>
        <v/>
      </c>
    </row>
    <row r="585" customFormat="false" ht="15" hidden="false" customHeight="false" outlineLevel="0" collapsed="false">
      <c r="A585" s="8" t="str">
        <f aca="false">IF(F585="","",COUNTIF($F$2:$F$1000,"&gt;"&amp;F585)+1)</f>
        <v/>
      </c>
      <c r="B585" s="9"/>
      <c r="C585" s="10"/>
      <c r="D585" s="11" t="str">
        <f aca="false">IF(C585="","",IFERROR(INDEX(Summary!$B$2:$B$14,MATCH(C585,Summary!$A$2:$A$14,0)),"?"))</f>
        <v/>
      </c>
      <c r="E585" s="11" t="str">
        <f aca="false">IF(C585="","",IFERROR(INDEX(Summary!$C$2:$C$14,MATCH(C585,Summary!$A$2:$A$14,0)),"?"))</f>
        <v/>
      </c>
      <c r="F585" s="12"/>
      <c r="H585" s="0" t="str">
        <f aca="false">IF(OR(B585="",F585=""),"",F585-ROW()/100000)</f>
        <v/>
      </c>
      <c r="I585" s="0" t="str">
        <f aca="false">IF(H585="","",C585&amp;"|"&amp;(COUNTIFS($C$2:$C$1000,C585,$H$2:$H$1000,"&gt;"&amp;H585)+1))</f>
        <v/>
      </c>
    </row>
    <row r="586" customFormat="false" ht="15" hidden="false" customHeight="false" outlineLevel="0" collapsed="false">
      <c r="A586" s="8" t="str">
        <f aca="false">IF(F586="","",COUNTIF($F$2:$F$1000,"&gt;"&amp;F586)+1)</f>
        <v/>
      </c>
      <c r="B586" s="9"/>
      <c r="C586" s="10"/>
      <c r="D586" s="11" t="str">
        <f aca="false">IF(C586="","",IFERROR(INDEX(Summary!$B$2:$B$14,MATCH(C586,Summary!$A$2:$A$14,0)),"?"))</f>
        <v/>
      </c>
      <c r="E586" s="11" t="str">
        <f aca="false">IF(C586="","",IFERROR(INDEX(Summary!$C$2:$C$14,MATCH(C586,Summary!$A$2:$A$14,0)),"?"))</f>
        <v/>
      </c>
      <c r="F586" s="12"/>
      <c r="H586" s="0" t="str">
        <f aca="false">IF(OR(B586="",F586=""),"",F586-ROW()/100000)</f>
        <v/>
      </c>
      <c r="I586" s="0" t="str">
        <f aca="false">IF(H586="","",C586&amp;"|"&amp;(COUNTIFS($C$2:$C$1000,C586,$H$2:$H$1000,"&gt;"&amp;H586)+1))</f>
        <v/>
      </c>
    </row>
    <row r="587" customFormat="false" ht="15" hidden="false" customHeight="false" outlineLevel="0" collapsed="false">
      <c r="A587" s="8" t="str">
        <f aca="false">IF(F587="","",COUNTIF($F$2:$F$1000,"&gt;"&amp;F587)+1)</f>
        <v/>
      </c>
      <c r="B587" s="9"/>
      <c r="C587" s="10"/>
      <c r="D587" s="11" t="str">
        <f aca="false">IF(C587="","",IFERROR(INDEX(Summary!$B$2:$B$14,MATCH(C587,Summary!$A$2:$A$14,0)),"?"))</f>
        <v/>
      </c>
      <c r="E587" s="11" t="str">
        <f aca="false">IF(C587="","",IFERROR(INDEX(Summary!$C$2:$C$14,MATCH(C587,Summary!$A$2:$A$14,0)),"?"))</f>
        <v/>
      </c>
      <c r="F587" s="12"/>
      <c r="H587" s="0" t="str">
        <f aca="false">IF(OR(B587="",F587=""),"",F587-ROW()/100000)</f>
        <v/>
      </c>
      <c r="I587" s="0" t="str">
        <f aca="false">IF(H587="","",C587&amp;"|"&amp;(COUNTIFS($C$2:$C$1000,C587,$H$2:$H$1000,"&gt;"&amp;H587)+1))</f>
        <v/>
      </c>
    </row>
    <row r="588" customFormat="false" ht="15" hidden="false" customHeight="false" outlineLevel="0" collapsed="false">
      <c r="A588" s="8" t="str">
        <f aca="false">IF(F588="","",COUNTIF($F$2:$F$1000,"&gt;"&amp;F588)+1)</f>
        <v/>
      </c>
      <c r="B588" s="9"/>
      <c r="C588" s="10"/>
      <c r="D588" s="11" t="str">
        <f aca="false">IF(C588="","",IFERROR(INDEX(Summary!$B$2:$B$14,MATCH(C588,Summary!$A$2:$A$14,0)),"?"))</f>
        <v/>
      </c>
      <c r="E588" s="11" t="str">
        <f aca="false">IF(C588="","",IFERROR(INDEX(Summary!$C$2:$C$14,MATCH(C588,Summary!$A$2:$A$14,0)),"?"))</f>
        <v/>
      </c>
      <c r="F588" s="12"/>
      <c r="H588" s="0" t="str">
        <f aca="false">IF(OR(B588="",F588=""),"",F588-ROW()/100000)</f>
        <v/>
      </c>
      <c r="I588" s="0" t="str">
        <f aca="false">IF(H588="","",C588&amp;"|"&amp;(COUNTIFS($C$2:$C$1000,C588,$H$2:$H$1000,"&gt;"&amp;H588)+1))</f>
        <v/>
      </c>
    </row>
    <row r="589" customFormat="false" ht="15" hidden="false" customHeight="false" outlineLevel="0" collapsed="false">
      <c r="A589" s="8" t="str">
        <f aca="false">IF(F589="","",COUNTIF($F$2:$F$1000,"&gt;"&amp;F589)+1)</f>
        <v/>
      </c>
      <c r="B589" s="9"/>
      <c r="C589" s="10"/>
      <c r="D589" s="11" t="str">
        <f aca="false">IF(C589="","",IFERROR(INDEX(Summary!$B$2:$B$14,MATCH(C589,Summary!$A$2:$A$14,0)),"?"))</f>
        <v/>
      </c>
      <c r="E589" s="11" t="str">
        <f aca="false">IF(C589="","",IFERROR(INDEX(Summary!$C$2:$C$14,MATCH(C589,Summary!$A$2:$A$14,0)),"?"))</f>
        <v/>
      </c>
      <c r="F589" s="12"/>
      <c r="H589" s="0" t="str">
        <f aca="false">IF(OR(B589="",F589=""),"",F589-ROW()/100000)</f>
        <v/>
      </c>
      <c r="I589" s="0" t="str">
        <f aca="false">IF(H589="","",C589&amp;"|"&amp;(COUNTIFS($C$2:$C$1000,C589,$H$2:$H$1000,"&gt;"&amp;H589)+1))</f>
        <v/>
      </c>
    </row>
    <row r="590" customFormat="false" ht="15" hidden="false" customHeight="false" outlineLevel="0" collapsed="false">
      <c r="A590" s="8" t="str">
        <f aca="false">IF(F590="","",COUNTIF($F$2:$F$1000,"&gt;"&amp;F590)+1)</f>
        <v/>
      </c>
      <c r="B590" s="9"/>
      <c r="C590" s="10"/>
      <c r="D590" s="11" t="str">
        <f aca="false">IF(C590="","",IFERROR(INDEX(Summary!$B$2:$B$14,MATCH(C590,Summary!$A$2:$A$14,0)),"?"))</f>
        <v/>
      </c>
      <c r="E590" s="11" t="str">
        <f aca="false">IF(C590="","",IFERROR(INDEX(Summary!$C$2:$C$14,MATCH(C590,Summary!$A$2:$A$14,0)),"?"))</f>
        <v/>
      </c>
      <c r="F590" s="12"/>
      <c r="H590" s="0" t="str">
        <f aca="false">IF(OR(B590="",F590=""),"",F590-ROW()/100000)</f>
        <v/>
      </c>
      <c r="I590" s="0" t="str">
        <f aca="false">IF(H590="","",C590&amp;"|"&amp;(COUNTIFS($C$2:$C$1000,C590,$H$2:$H$1000,"&gt;"&amp;H590)+1))</f>
        <v/>
      </c>
    </row>
    <row r="591" customFormat="false" ht="15" hidden="false" customHeight="false" outlineLevel="0" collapsed="false">
      <c r="A591" s="8" t="str">
        <f aca="false">IF(F591="","",COUNTIF($F$2:$F$1000,"&gt;"&amp;F591)+1)</f>
        <v/>
      </c>
      <c r="B591" s="9"/>
      <c r="C591" s="10"/>
      <c r="D591" s="11" t="str">
        <f aca="false">IF(C591="","",IFERROR(INDEX(Summary!$B$2:$B$14,MATCH(C591,Summary!$A$2:$A$14,0)),"?"))</f>
        <v/>
      </c>
      <c r="E591" s="11" t="str">
        <f aca="false">IF(C591="","",IFERROR(INDEX(Summary!$C$2:$C$14,MATCH(C591,Summary!$A$2:$A$14,0)),"?"))</f>
        <v/>
      </c>
      <c r="F591" s="12"/>
      <c r="H591" s="0" t="str">
        <f aca="false">IF(OR(B591="",F591=""),"",F591-ROW()/100000)</f>
        <v/>
      </c>
      <c r="I591" s="0" t="str">
        <f aca="false">IF(H591="","",C591&amp;"|"&amp;(COUNTIFS($C$2:$C$1000,C591,$H$2:$H$1000,"&gt;"&amp;H591)+1))</f>
        <v/>
      </c>
    </row>
    <row r="592" customFormat="false" ht="15" hidden="false" customHeight="false" outlineLevel="0" collapsed="false">
      <c r="A592" s="8" t="str">
        <f aca="false">IF(F592="","",COUNTIF($F$2:$F$1000,"&gt;"&amp;F592)+1)</f>
        <v/>
      </c>
      <c r="B592" s="9"/>
      <c r="C592" s="10"/>
      <c r="D592" s="11" t="str">
        <f aca="false">IF(C592="","",IFERROR(INDEX(Summary!$B$2:$B$14,MATCH(C592,Summary!$A$2:$A$14,0)),"?"))</f>
        <v/>
      </c>
      <c r="E592" s="11" t="str">
        <f aca="false">IF(C592="","",IFERROR(INDEX(Summary!$C$2:$C$14,MATCH(C592,Summary!$A$2:$A$14,0)),"?"))</f>
        <v/>
      </c>
      <c r="F592" s="12"/>
      <c r="H592" s="0" t="str">
        <f aca="false">IF(OR(B592="",F592=""),"",F592-ROW()/100000)</f>
        <v/>
      </c>
      <c r="I592" s="0" t="str">
        <f aca="false">IF(H592="","",C592&amp;"|"&amp;(COUNTIFS($C$2:$C$1000,C592,$H$2:$H$1000,"&gt;"&amp;H592)+1))</f>
        <v/>
      </c>
    </row>
    <row r="593" customFormat="false" ht="15" hidden="false" customHeight="false" outlineLevel="0" collapsed="false">
      <c r="A593" s="8" t="str">
        <f aca="false">IF(F593="","",COUNTIF($F$2:$F$1000,"&gt;"&amp;F593)+1)</f>
        <v/>
      </c>
      <c r="B593" s="9"/>
      <c r="C593" s="10"/>
      <c r="D593" s="11" t="str">
        <f aca="false">IF(C593="","",IFERROR(INDEX(Summary!$B$2:$B$14,MATCH(C593,Summary!$A$2:$A$14,0)),"?"))</f>
        <v/>
      </c>
      <c r="E593" s="11" t="str">
        <f aca="false">IF(C593="","",IFERROR(INDEX(Summary!$C$2:$C$14,MATCH(C593,Summary!$A$2:$A$14,0)),"?"))</f>
        <v/>
      </c>
      <c r="F593" s="12"/>
      <c r="H593" s="0" t="str">
        <f aca="false">IF(OR(B593="",F593=""),"",F593-ROW()/100000)</f>
        <v/>
      </c>
      <c r="I593" s="0" t="str">
        <f aca="false">IF(H593="","",C593&amp;"|"&amp;(COUNTIFS($C$2:$C$1000,C593,$H$2:$H$1000,"&gt;"&amp;H593)+1))</f>
        <v/>
      </c>
    </row>
    <row r="594" customFormat="false" ht="15" hidden="false" customHeight="false" outlineLevel="0" collapsed="false">
      <c r="A594" s="8" t="str">
        <f aca="false">IF(F594="","",COUNTIF($F$2:$F$1000,"&gt;"&amp;F594)+1)</f>
        <v/>
      </c>
      <c r="B594" s="9"/>
      <c r="C594" s="10"/>
      <c r="D594" s="11" t="str">
        <f aca="false">IF(C594="","",IFERROR(INDEX(Summary!$B$2:$B$14,MATCH(C594,Summary!$A$2:$A$14,0)),"?"))</f>
        <v/>
      </c>
      <c r="E594" s="11" t="str">
        <f aca="false">IF(C594="","",IFERROR(INDEX(Summary!$C$2:$C$14,MATCH(C594,Summary!$A$2:$A$14,0)),"?"))</f>
        <v/>
      </c>
      <c r="F594" s="12"/>
      <c r="H594" s="0" t="str">
        <f aca="false">IF(OR(B594="",F594=""),"",F594-ROW()/100000)</f>
        <v/>
      </c>
      <c r="I594" s="0" t="str">
        <f aca="false">IF(H594="","",C594&amp;"|"&amp;(COUNTIFS($C$2:$C$1000,C594,$H$2:$H$1000,"&gt;"&amp;H594)+1))</f>
        <v/>
      </c>
    </row>
    <row r="595" customFormat="false" ht="15" hidden="false" customHeight="false" outlineLevel="0" collapsed="false">
      <c r="A595" s="8" t="str">
        <f aca="false">IF(F595="","",COUNTIF($F$2:$F$1000,"&gt;"&amp;F595)+1)</f>
        <v/>
      </c>
      <c r="B595" s="9"/>
      <c r="C595" s="10"/>
      <c r="D595" s="11" t="str">
        <f aca="false">IF(C595="","",IFERROR(INDEX(Summary!$B$2:$B$14,MATCH(C595,Summary!$A$2:$A$14,0)),"?"))</f>
        <v/>
      </c>
      <c r="E595" s="11" t="str">
        <f aca="false">IF(C595="","",IFERROR(INDEX(Summary!$C$2:$C$14,MATCH(C595,Summary!$A$2:$A$14,0)),"?"))</f>
        <v/>
      </c>
      <c r="F595" s="12"/>
      <c r="H595" s="0" t="str">
        <f aca="false">IF(OR(B595="",F595=""),"",F595-ROW()/100000)</f>
        <v/>
      </c>
      <c r="I595" s="0" t="str">
        <f aca="false">IF(H595="","",C595&amp;"|"&amp;(COUNTIFS($C$2:$C$1000,C595,$H$2:$H$1000,"&gt;"&amp;H595)+1))</f>
        <v/>
      </c>
    </row>
    <row r="596" customFormat="false" ht="15" hidden="false" customHeight="false" outlineLevel="0" collapsed="false">
      <c r="A596" s="8" t="str">
        <f aca="false">IF(F596="","",COUNTIF($F$2:$F$1000,"&gt;"&amp;F596)+1)</f>
        <v/>
      </c>
      <c r="B596" s="9"/>
      <c r="C596" s="10"/>
      <c r="D596" s="11" t="str">
        <f aca="false">IF(C596="","",IFERROR(INDEX(Summary!$B$2:$B$14,MATCH(C596,Summary!$A$2:$A$14,0)),"?"))</f>
        <v/>
      </c>
      <c r="E596" s="11" t="str">
        <f aca="false">IF(C596="","",IFERROR(INDEX(Summary!$C$2:$C$14,MATCH(C596,Summary!$A$2:$A$14,0)),"?"))</f>
        <v/>
      </c>
      <c r="F596" s="12"/>
      <c r="H596" s="0" t="str">
        <f aca="false">IF(OR(B596="",F596=""),"",F596-ROW()/100000)</f>
        <v/>
      </c>
      <c r="I596" s="0" t="str">
        <f aca="false">IF(H596="","",C596&amp;"|"&amp;(COUNTIFS($C$2:$C$1000,C596,$H$2:$H$1000,"&gt;"&amp;H596)+1))</f>
        <v/>
      </c>
    </row>
    <row r="597" customFormat="false" ht="15" hidden="false" customHeight="false" outlineLevel="0" collapsed="false">
      <c r="A597" s="8" t="str">
        <f aca="false">IF(F597="","",COUNTIF($F$2:$F$1000,"&gt;"&amp;F597)+1)</f>
        <v/>
      </c>
      <c r="B597" s="9"/>
      <c r="C597" s="10"/>
      <c r="D597" s="11" t="str">
        <f aca="false">IF(C597="","",IFERROR(INDEX(Summary!$B$2:$B$14,MATCH(C597,Summary!$A$2:$A$14,0)),"?"))</f>
        <v/>
      </c>
      <c r="E597" s="11" t="str">
        <f aca="false">IF(C597="","",IFERROR(INDEX(Summary!$C$2:$C$14,MATCH(C597,Summary!$A$2:$A$14,0)),"?"))</f>
        <v/>
      </c>
      <c r="F597" s="12"/>
      <c r="H597" s="0" t="str">
        <f aca="false">IF(OR(B597="",F597=""),"",F597-ROW()/100000)</f>
        <v/>
      </c>
      <c r="I597" s="0" t="str">
        <f aca="false">IF(H597="","",C597&amp;"|"&amp;(COUNTIFS($C$2:$C$1000,C597,$H$2:$H$1000,"&gt;"&amp;H597)+1))</f>
        <v/>
      </c>
    </row>
    <row r="598" customFormat="false" ht="15" hidden="false" customHeight="false" outlineLevel="0" collapsed="false">
      <c r="A598" s="8" t="str">
        <f aca="false">IF(F598="","",COUNTIF($F$2:$F$1000,"&gt;"&amp;F598)+1)</f>
        <v/>
      </c>
      <c r="B598" s="9"/>
      <c r="C598" s="10"/>
      <c r="D598" s="11" t="str">
        <f aca="false">IF(C598="","",IFERROR(INDEX(Summary!$B$2:$B$14,MATCH(C598,Summary!$A$2:$A$14,0)),"?"))</f>
        <v/>
      </c>
      <c r="E598" s="11" t="str">
        <f aca="false">IF(C598="","",IFERROR(INDEX(Summary!$C$2:$C$14,MATCH(C598,Summary!$A$2:$A$14,0)),"?"))</f>
        <v/>
      </c>
      <c r="F598" s="12"/>
      <c r="H598" s="0" t="str">
        <f aca="false">IF(OR(B598="",F598=""),"",F598-ROW()/100000)</f>
        <v/>
      </c>
      <c r="I598" s="0" t="str">
        <f aca="false">IF(H598="","",C598&amp;"|"&amp;(COUNTIFS($C$2:$C$1000,C598,$H$2:$H$1000,"&gt;"&amp;H598)+1))</f>
        <v/>
      </c>
    </row>
    <row r="599" customFormat="false" ht="15" hidden="false" customHeight="false" outlineLevel="0" collapsed="false">
      <c r="A599" s="8" t="str">
        <f aca="false">IF(F599="","",COUNTIF($F$2:$F$1000,"&gt;"&amp;F599)+1)</f>
        <v/>
      </c>
      <c r="B599" s="9"/>
      <c r="C599" s="10"/>
      <c r="D599" s="11" t="str">
        <f aca="false">IF(C599="","",IFERROR(INDEX(Summary!$B$2:$B$14,MATCH(C599,Summary!$A$2:$A$14,0)),"?"))</f>
        <v/>
      </c>
      <c r="E599" s="11" t="str">
        <f aca="false">IF(C599="","",IFERROR(INDEX(Summary!$C$2:$C$14,MATCH(C599,Summary!$A$2:$A$14,0)),"?"))</f>
        <v/>
      </c>
      <c r="F599" s="12"/>
      <c r="H599" s="0" t="str">
        <f aca="false">IF(OR(B599="",F599=""),"",F599-ROW()/100000)</f>
        <v/>
      </c>
      <c r="I599" s="0" t="str">
        <f aca="false">IF(H599="","",C599&amp;"|"&amp;(COUNTIFS($C$2:$C$1000,C599,$H$2:$H$1000,"&gt;"&amp;H599)+1))</f>
        <v/>
      </c>
    </row>
    <row r="600" customFormat="false" ht="15" hidden="false" customHeight="false" outlineLevel="0" collapsed="false">
      <c r="A600" s="8" t="str">
        <f aca="false">IF(F600="","",COUNTIF($F$2:$F$1000,"&gt;"&amp;F600)+1)</f>
        <v/>
      </c>
      <c r="B600" s="9"/>
      <c r="C600" s="10"/>
      <c r="D600" s="11" t="str">
        <f aca="false">IF(C600="","",IFERROR(INDEX(Summary!$B$2:$B$14,MATCH(C600,Summary!$A$2:$A$14,0)),"?"))</f>
        <v/>
      </c>
      <c r="E600" s="11" t="str">
        <f aca="false">IF(C600="","",IFERROR(INDEX(Summary!$C$2:$C$14,MATCH(C600,Summary!$A$2:$A$14,0)),"?"))</f>
        <v/>
      </c>
      <c r="F600" s="12"/>
      <c r="H600" s="0" t="str">
        <f aca="false">IF(OR(B600="",F600=""),"",F600-ROW()/100000)</f>
        <v/>
      </c>
      <c r="I600" s="0" t="str">
        <f aca="false">IF(H600="","",C600&amp;"|"&amp;(COUNTIFS($C$2:$C$1000,C600,$H$2:$H$1000,"&gt;"&amp;H600)+1))</f>
        <v/>
      </c>
    </row>
    <row r="601" customFormat="false" ht="15" hidden="false" customHeight="false" outlineLevel="0" collapsed="false">
      <c r="A601" s="8" t="str">
        <f aca="false">IF(F601="","",COUNTIF($F$2:$F$1000,"&gt;"&amp;F601)+1)</f>
        <v/>
      </c>
      <c r="B601" s="9"/>
      <c r="C601" s="10"/>
      <c r="D601" s="11" t="str">
        <f aca="false">IF(C601="","",IFERROR(INDEX(Summary!$B$2:$B$14,MATCH(C601,Summary!$A$2:$A$14,0)),"?"))</f>
        <v/>
      </c>
      <c r="E601" s="11" t="str">
        <f aca="false">IF(C601="","",IFERROR(INDEX(Summary!$C$2:$C$14,MATCH(C601,Summary!$A$2:$A$14,0)),"?"))</f>
        <v/>
      </c>
      <c r="F601" s="12"/>
      <c r="H601" s="0" t="str">
        <f aca="false">IF(OR(B601="",F601=""),"",F601-ROW()/100000)</f>
        <v/>
      </c>
      <c r="I601" s="0" t="str">
        <f aca="false">IF(H601="","",C601&amp;"|"&amp;(COUNTIFS($C$2:$C$1000,C601,$H$2:$H$1000,"&gt;"&amp;H601)+1))</f>
        <v/>
      </c>
    </row>
    <row r="602" customFormat="false" ht="15" hidden="false" customHeight="false" outlineLevel="0" collapsed="false">
      <c r="A602" s="8" t="str">
        <f aca="false">IF(F602="","",COUNTIF($F$2:$F$1000,"&gt;"&amp;F602)+1)</f>
        <v/>
      </c>
      <c r="B602" s="9"/>
      <c r="C602" s="10"/>
      <c r="D602" s="11" t="str">
        <f aca="false">IF(C602="","",IFERROR(INDEX(Summary!$B$2:$B$14,MATCH(C602,Summary!$A$2:$A$14,0)),"?"))</f>
        <v/>
      </c>
      <c r="E602" s="11" t="str">
        <f aca="false">IF(C602="","",IFERROR(INDEX(Summary!$C$2:$C$14,MATCH(C602,Summary!$A$2:$A$14,0)),"?"))</f>
        <v/>
      </c>
      <c r="F602" s="12"/>
      <c r="H602" s="0" t="str">
        <f aca="false">IF(OR(B602="",F602=""),"",F602-ROW()/100000)</f>
        <v/>
      </c>
      <c r="I602" s="0" t="str">
        <f aca="false">IF(H602="","",C602&amp;"|"&amp;(COUNTIFS($C$2:$C$1000,C602,$H$2:$H$1000,"&gt;"&amp;H602)+1))</f>
        <v/>
      </c>
    </row>
    <row r="603" customFormat="false" ht="15" hidden="false" customHeight="false" outlineLevel="0" collapsed="false">
      <c r="A603" s="8" t="str">
        <f aca="false">IF(F603="","",COUNTIF($F$2:$F$1000,"&gt;"&amp;F603)+1)</f>
        <v/>
      </c>
      <c r="B603" s="9"/>
      <c r="C603" s="10"/>
      <c r="D603" s="11" t="str">
        <f aca="false">IF(C603="","",IFERROR(INDEX(Summary!$B$2:$B$14,MATCH(C603,Summary!$A$2:$A$14,0)),"?"))</f>
        <v/>
      </c>
      <c r="E603" s="11" t="str">
        <f aca="false">IF(C603="","",IFERROR(INDEX(Summary!$C$2:$C$14,MATCH(C603,Summary!$A$2:$A$14,0)),"?"))</f>
        <v/>
      </c>
      <c r="F603" s="12"/>
      <c r="H603" s="0" t="str">
        <f aca="false">IF(OR(B603="",F603=""),"",F603-ROW()/100000)</f>
        <v/>
      </c>
      <c r="I603" s="0" t="str">
        <f aca="false">IF(H603="","",C603&amp;"|"&amp;(COUNTIFS($C$2:$C$1000,C603,$H$2:$H$1000,"&gt;"&amp;H603)+1))</f>
        <v/>
      </c>
    </row>
    <row r="604" customFormat="false" ht="15" hidden="false" customHeight="false" outlineLevel="0" collapsed="false">
      <c r="A604" s="8" t="str">
        <f aca="false">IF(F604="","",COUNTIF($F$2:$F$1000,"&gt;"&amp;F604)+1)</f>
        <v/>
      </c>
      <c r="B604" s="9"/>
      <c r="C604" s="10"/>
      <c r="D604" s="11" t="str">
        <f aca="false">IF(C604="","",IFERROR(INDEX(Summary!$B$2:$B$14,MATCH(C604,Summary!$A$2:$A$14,0)),"?"))</f>
        <v/>
      </c>
      <c r="E604" s="11" t="str">
        <f aca="false">IF(C604="","",IFERROR(INDEX(Summary!$C$2:$C$14,MATCH(C604,Summary!$A$2:$A$14,0)),"?"))</f>
        <v/>
      </c>
      <c r="F604" s="12"/>
      <c r="H604" s="0" t="str">
        <f aca="false">IF(OR(B604="",F604=""),"",F604-ROW()/100000)</f>
        <v/>
      </c>
      <c r="I604" s="0" t="str">
        <f aca="false">IF(H604="","",C604&amp;"|"&amp;(COUNTIFS($C$2:$C$1000,C604,$H$2:$H$1000,"&gt;"&amp;H604)+1))</f>
        <v/>
      </c>
    </row>
    <row r="605" customFormat="false" ht="15" hidden="false" customHeight="false" outlineLevel="0" collapsed="false">
      <c r="A605" s="8" t="str">
        <f aca="false">IF(F605="","",COUNTIF($F$2:$F$1000,"&gt;"&amp;F605)+1)</f>
        <v/>
      </c>
      <c r="B605" s="9"/>
      <c r="C605" s="10"/>
      <c r="D605" s="11" t="str">
        <f aca="false">IF(C605="","",IFERROR(INDEX(Summary!$B$2:$B$14,MATCH(C605,Summary!$A$2:$A$14,0)),"?"))</f>
        <v/>
      </c>
      <c r="E605" s="11" t="str">
        <f aca="false">IF(C605="","",IFERROR(INDEX(Summary!$C$2:$C$14,MATCH(C605,Summary!$A$2:$A$14,0)),"?"))</f>
        <v/>
      </c>
      <c r="F605" s="12"/>
      <c r="H605" s="0" t="str">
        <f aca="false">IF(OR(B605="",F605=""),"",F605-ROW()/100000)</f>
        <v/>
      </c>
      <c r="I605" s="0" t="str">
        <f aca="false">IF(H605="","",C605&amp;"|"&amp;(COUNTIFS($C$2:$C$1000,C605,$H$2:$H$1000,"&gt;"&amp;H605)+1))</f>
        <v/>
      </c>
    </row>
    <row r="606" customFormat="false" ht="15" hidden="false" customHeight="false" outlineLevel="0" collapsed="false">
      <c r="A606" s="8" t="str">
        <f aca="false">IF(F606="","",COUNTIF($F$2:$F$1000,"&gt;"&amp;F606)+1)</f>
        <v/>
      </c>
      <c r="B606" s="9"/>
      <c r="C606" s="10"/>
      <c r="D606" s="11" t="str">
        <f aca="false">IF(C606="","",IFERROR(INDEX(Summary!$B$2:$B$14,MATCH(C606,Summary!$A$2:$A$14,0)),"?"))</f>
        <v/>
      </c>
      <c r="E606" s="11" t="str">
        <f aca="false">IF(C606="","",IFERROR(INDEX(Summary!$C$2:$C$14,MATCH(C606,Summary!$A$2:$A$14,0)),"?"))</f>
        <v/>
      </c>
      <c r="F606" s="12"/>
      <c r="H606" s="0" t="str">
        <f aca="false">IF(OR(B606="",F606=""),"",F606-ROW()/100000)</f>
        <v/>
      </c>
      <c r="I606" s="0" t="str">
        <f aca="false">IF(H606="","",C606&amp;"|"&amp;(COUNTIFS($C$2:$C$1000,C606,$H$2:$H$1000,"&gt;"&amp;H606)+1))</f>
        <v/>
      </c>
    </row>
    <row r="607" customFormat="false" ht="15" hidden="false" customHeight="false" outlineLevel="0" collapsed="false">
      <c r="A607" s="8" t="str">
        <f aca="false">IF(F607="","",COUNTIF($F$2:$F$1000,"&gt;"&amp;F607)+1)</f>
        <v/>
      </c>
      <c r="B607" s="9"/>
      <c r="C607" s="10"/>
      <c r="D607" s="11" t="str">
        <f aca="false">IF(C607="","",IFERROR(INDEX(Summary!$B$2:$B$14,MATCH(C607,Summary!$A$2:$A$14,0)),"?"))</f>
        <v/>
      </c>
      <c r="E607" s="11" t="str">
        <f aca="false">IF(C607="","",IFERROR(INDEX(Summary!$C$2:$C$14,MATCH(C607,Summary!$A$2:$A$14,0)),"?"))</f>
        <v/>
      </c>
      <c r="F607" s="12"/>
      <c r="H607" s="0" t="str">
        <f aca="false">IF(OR(B607="",F607=""),"",F607-ROW()/100000)</f>
        <v/>
      </c>
      <c r="I607" s="0" t="str">
        <f aca="false">IF(H607="","",C607&amp;"|"&amp;(COUNTIFS($C$2:$C$1000,C607,$H$2:$H$1000,"&gt;"&amp;H607)+1))</f>
        <v/>
      </c>
    </row>
    <row r="608" customFormat="false" ht="15" hidden="false" customHeight="false" outlineLevel="0" collapsed="false">
      <c r="A608" s="8" t="str">
        <f aca="false">IF(F608="","",COUNTIF($F$2:$F$1000,"&gt;"&amp;F608)+1)</f>
        <v/>
      </c>
      <c r="B608" s="9"/>
      <c r="C608" s="10"/>
      <c r="D608" s="11" t="str">
        <f aca="false">IF(C608="","",IFERROR(INDEX(Summary!$B$2:$B$14,MATCH(C608,Summary!$A$2:$A$14,0)),"?"))</f>
        <v/>
      </c>
      <c r="E608" s="11" t="str">
        <f aca="false">IF(C608="","",IFERROR(INDEX(Summary!$C$2:$C$14,MATCH(C608,Summary!$A$2:$A$14,0)),"?"))</f>
        <v/>
      </c>
      <c r="F608" s="12"/>
      <c r="H608" s="0" t="str">
        <f aca="false">IF(OR(B608="",F608=""),"",F608-ROW()/100000)</f>
        <v/>
      </c>
      <c r="I608" s="0" t="str">
        <f aca="false">IF(H608="","",C608&amp;"|"&amp;(COUNTIFS($C$2:$C$1000,C608,$H$2:$H$1000,"&gt;"&amp;H608)+1))</f>
        <v/>
      </c>
    </row>
    <row r="609" customFormat="false" ht="15" hidden="false" customHeight="false" outlineLevel="0" collapsed="false">
      <c r="A609" s="8" t="str">
        <f aca="false">IF(F609="","",COUNTIF($F$2:$F$1000,"&gt;"&amp;F609)+1)</f>
        <v/>
      </c>
      <c r="B609" s="9"/>
      <c r="C609" s="10"/>
      <c r="D609" s="11" t="str">
        <f aca="false">IF(C609="","",IFERROR(INDEX(Summary!$B$2:$B$14,MATCH(C609,Summary!$A$2:$A$14,0)),"?"))</f>
        <v/>
      </c>
      <c r="E609" s="11" t="str">
        <f aca="false">IF(C609="","",IFERROR(INDEX(Summary!$C$2:$C$14,MATCH(C609,Summary!$A$2:$A$14,0)),"?"))</f>
        <v/>
      </c>
      <c r="F609" s="12"/>
      <c r="H609" s="0" t="str">
        <f aca="false">IF(OR(B609="",F609=""),"",F609-ROW()/100000)</f>
        <v/>
      </c>
      <c r="I609" s="0" t="str">
        <f aca="false">IF(H609="","",C609&amp;"|"&amp;(COUNTIFS($C$2:$C$1000,C609,$H$2:$H$1000,"&gt;"&amp;H609)+1))</f>
        <v/>
      </c>
    </row>
    <row r="610" customFormat="false" ht="15" hidden="false" customHeight="false" outlineLevel="0" collapsed="false">
      <c r="A610" s="8" t="str">
        <f aca="false">IF(F610="","",COUNTIF($F$2:$F$1000,"&gt;"&amp;F610)+1)</f>
        <v/>
      </c>
      <c r="B610" s="9"/>
      <c r="C610" s="10"/>
      <c r="D610" s="11" t="str">
        <f aca="false">IF(C610="","",IFERROR(INDEX(Summary!$B$2:$B$14,MATCH(C610,Summary!$A$2:$A$14,0)),"?"))</f>
        <v/>
      </c>
      <c r="E610" s="11" t="str">
        <f aca="false">IF(C610="","",IFERROR(INDEX(Summary!$C$2:$C$14,MATCH(C610,Summary!$A$2:$A$14,0)),"?"))</f>
        <v/>
      </c>
      <c r="F610" s="12"/>
      <c r="H610" s="0" t="str">
        <f aca="false">IF(OR(B610="",F610=""),"",F610-ROW()/100000)</f>
        <v/>
      </c>
      <c r="I610" s="0" t="str">
        <f aca="false">IF(H610="","",C610&amp;"|"&amp;(COUNTIFS($C$2:$C$1000,C610,$H$2:$H$1000,"&gt;"&amp;H610)+1))</f>
        <v/>
      </c>
    </row>
    <row r="611" customFormat="false" ht="15" hidden="false" customHeight="false" outlineLevel="0" collapsed="false">
      <c r="A611" s="8" t="str">
        <f aca="false">IF(F611="","",COUNTIF($F$2:$F$1000,"&gt;"&amp;F611)+1)</f>
        <v/>
      </c>
      <c r="B611" s="9"/>
      <c r="C611" s="10"/>
      <c r="D611" s="11" t="str">
        <f aca="false">IF(C611="","",IFERROR(INDEX(Summary!$B$2:$B$14,MATCH(C611,Summary!$A$2:$A$14,0)),"?"))</f>
        <v/>
      </c>
      <c r="E611" s="11" t="str">
        <f aca="false">IF(C611="","",IFERROR(INDEX(Summary!$C$2:$C$14,MATCH(C611,Summary!$A$2:$A$14,0)),"?"))</f>
        <v/>
      </c>
      <c r="F611" s="12"/>
      <c r="H611" s="0" t="str">
        <f aca="false">IF(OR(B611="",F611=""),"",F611-ROW()/100000)</f>
        <v/>
      </c>
      <c r="I611" s="0" t="str">
        <f aca="false">IF(H611="","",C611&amp;"|"&amp;(COUNTIFS($C$2:$C$1000,C611,$H$2:$H$1000,"&gt;"&amp;H611)+1))</f>
        <v/>
      </c>
    </row>
    <row r="612" customFormat="false" ht="15" hidden="false" customHeight="false" outlineLevel="0" collapsed="false">
      <c r="A612" s="8" t="str">
        <f aca="false">IF(F612="","",COUNTIF($F$2:$F$1000,"&gt;"&amp;F612)+1)</f>
        <v/>
      </c>
      <c r="B612" s="9"/>
      <c r="C612" s="10"/>
      <c r="D612" s="11" t="str">
        <f aca="false">IF(C612="","",IFERROR(INDEX(Summary!$B$2:$B$14,MATCH(C612,Summary!$A$2:$A$14,0)),"?"))</f>
        <v/>
      </c>
      <c r="E612" s="11" t="str">
        <f aca="false">IF(C612="","",IFERROR(INDEX(Summary!$C$2:$C$14,MATCH(C612,Summary!$A$2:$A$14,0)),"?"))</f>
        <v/>
      </c>
      <c r="F612" s="12"/>
      <c r="H612" s="0" t="str">
        <f aca="false">IF(OR(B612="",F612=""),"",F612-ROW()/100000)</f>
        <v/>
      </c>
      <c r="I612" s="0" t="str">
        <f aca="false">IF(H612="","",C612&amp;"|"&amp;(COUNTIFS($C$2:$C$1000,C612,$H$2:$H$1000,"&gt;"&amp;H612)+1))</f>
        <v/>
      </c>
    </row>
    <row r="613" customFormat="false" ht="15" hidden="false" customHeight="false" outlineLevel="0" collapsed="false">
      <c r="A613" s="8" t="str">
        <f aca="false">IF(F613="","",COUNTIF($F$2:$F$1000,"&gt;"&amp;F613)+1)</f>
        <v/>
      </c>
      <c r="B613" s="9"/>
      <c r="C613" s="10"/>
      <c r="D613" s="11" t="str">
        <f aca="false">IF(C613="","",IFERROR(INDEX(Summary!$B$2:$B$14,MATCH(C613,Summary!$A$2:$A$14,0)),"?"))</f>
        <v/>
      </c>
      <c r="E613" s="11" t="str">
        <f aca="false">IF(C613="","",IFERROR(INDEX(Summary!$C$2:$C$14,MATCH(C613,Summary!$A$2:$A$14,0)),"?"))</f>
        <v/>
      </c>
      <c r="F613" s="12"/>
      <c r="H613" s="0" t="str">
        <f aca="false">IF(OR(B613="",F613=""),"",F613-ROW()/100000)</f>
        <v/>
      </c>
      <c r="I613" s="0" t="str">
        <f aca="false">IF(H613="","",C613&amp;"|"&amp;(COUNTIFS($C$2:$C$1000,C613,$H$2:$H$1000,"&gt;"&amp;H613)+1))</f>
        <v/>
      </c>
    </row>
    <row r="614" customFormat="false" ht="15" hidden="false" customHeight="false" outlineLevel="0" collapsed="false">
      <c r="A614" s="8" t="str">
        <f aca="false">IF(F614="","",COUNTIF($F$2:$F$1000,"&gt;"&amp;F614)+1)</f>
        <v/>
      </c>
      <c r="B614" s="9"/>
      <c r="C614" s="10"/>
      <c r="D614" s="11" t="str">
        <f aca="false">IF(C614="","",IFERROR(INDEX(Summary!$B$2:$B$14,MATCH(C614,Summary!$A$2:$A$14,0)),"?"))</f>
        <v/>
      </c>
      <c r="E614" s="11" t="str">
        <f aca="false">IF(C614="","",IFERROR(INDEX(Summary!$C$2:$C$14,MATCH(C614,Summary!$A$2:$A$14,0)),"?"))</f>
        <v/>
      </c>
      <c r="F614" s="12"/>
      <c r="H614" s="0" t="str">
        <f aca="false">IF(OR(B614="",F614=""),"",F614-ROW()/100000)</f>
        <v/>
      </c>
      <c r="I614" s="0" t="str">
        <f aca="false">IF(H614="","",C614&amp;"|"&amp;(COUNTIFS($C$2:$C$1000,C614,$H$2:$H$1000,"&gt;"&amp;H614)+1))</f>
        <v/>
      </c>
    </row>
    <row r="615" customFormat="false" ht="15" hidden="false" customHeight="false" outlineLevel="0" collapsed="false">
      <c r="A615" s="8" t="str">
        <f aca="false">IF(F615="","",COUNTIF($F$2:$F$1000,"&gt;"&amp;F615)+1)</f>
        <v/>
      </c>
      <c r="B615" s="9"/>
      <c r="C615" s="10"/>
      <c r="D615" s="11" t="str">
        <f aca="false">IF(C615="","",IFERROR(INDEX(Summary!$B$2:$B$14,MATCH(C615,Summary!$A$2:$A$14,0)),"?"))</f>
        <v/>
      </c>
      <c r="E615" s="11" t="str">
        <f aca="false">IF(C615="","",IFERROR(INDEX(Summary!$C$2:$C$14,MATCH(C615,Summary!$A$2:$A$14,0)),"?"))</f>
        <v/>
      </c>
      <c r="F615" s="12"/>
      <c r="H615" s="0" t="str">
        <f aca="false">IF(OR(B615="",F615=""),"",F615-ROW()/100000)</f>
        <v/>
      </c>
      <c r="I615" s="0" t="str">
        <f aca="false">IF(H615="","",C615&amp;"|"&amp;(COUNTIFS($C$2:$C$1000,C615,$H$2:$H$1000,"&gt;"&amp;H615)+1))</f>
        <v/>
      </c>
    </row>
    <row r="616" customFormat="false" ht="15" hidden="false" customHeight="false" outlineLevel="0" collapsed="false">
      <c r="A616" s="8" t="str">
        <f aca="false">IF(F616="","",COUNTIF($F$2:$F$1000,"&gt;"&amp;F616)+1)</f>
        <v/>
      </c>
      <c r="B616" s="9"/>
      <c r="C616" s="10"/>
      <c r="D616" s="11" t="str">
        <f aca="false">IF(C616="","",IFERROR(INDEX(Summary!$B$2:$B$14,MATCH(C616,Summary!$A$2:$A$14,0)),"?"))</f>
        <v/>
      </c>
      <c r="E616" s="11" t="str">
        <f aca="false">IF(C616="","",IFERROR(INDEX(Summary!$C$2:$C$14,MATCH(C616,Summary!$A$2:$A$14,0)),"?"))</f>
        <v/>
      </c>
      <c r="F616" s="12"/>
      <c r="H616" s="0" t="str">
        <f aca="false">IF(OR(B616="",F616=""),"",F616-ROW()/100000)</f>
        <v/>
      </c>
      <c r="I616" s="0" t="str">
        <f aca="false">IF(H616="","",C616&amp;"|"&amp;(COUNTIFS($C$2:$C$1000,C616,$H$2:$H$1000,"&gt;"&amp;H616)+1))</f>
        <v/>
      </c>
    </row>
    <row r="617" customFormat="false" ht="15" hidden="false" customHeight="false" outlineLevel="0" collapsed="false">
      <c r="A617" s="8" t="str">
        <f aca="false">IF(F617="","",COUNTIF($F$2:$F$1000,"&gt;"&amp;F617)+1)</f>
        <v/>
      </c>
      <c r="B617" s="9"/>
      <c r="C617" s="10"/>
      <c r="D617" s="11" t="str">
        <f aca="false">IF(C617="","",IFERROR(INDEX(Summary!$B$2:$B$14,MATCH(C617,Summary!$A$2:$A$14,0)),"?"))</f>
        <v/>
      </c>
      <c r="E617" s="11" t="str">
        <f aca="false">IF(C617="","",IFERROR(INDEX(Summary!$C$2:$C$14,MATCH(C617,Summary!$A$2:$A$14,0)),"?"))</f>
        <v/>
      </c>
      <c r="F617" s="12"/>
      <c r="H617" s="0" t="str">
        <f aca="false">IF(OR(B617="",F617=""),"",F617-ROW()/100000)</f>
        <v/>
      </c>
      <c r="I617" s="0" t="str">
        <f aca="false">IF(H617="","",C617&amp;"|"&amp;(COUNTIFS($C$2:$C$1000,C617,$H$2:$H$1000,"&gt;"&amp;H617)+1))</f>
        <v/>
      </c>
    </row>
    <row r="618" customFormat="false" ht="15" hidden="false" customHeight="false" outlineLevel="0" collapsed="false">
      <c r="A618" s="8" t="str">
        <f aca="false">IF(F618="","",COUNTIF($F$2:$F$1000,"&gt;"&amp;F618)+1)</f>
        <v/>
      </c>
      <c r="B618" s="9"/>
      <c r="C618" s="10"/>
      <c r="D618" s="11" t="str">
        <f aca="false">IF(C618="","",IFERROR(INDEX(Summary!$B$2:$B$14,MATCH(C618,Summary!$A$2:$A$14,0)),"?"))</f>
        <v/>
      </c>
      <c r="E618" s="11" t="str">
        <f aca="false">IF(C618="","",IFERROR(INDEX(Summary!$C$2:$C$14,MATCH(C618,Summary!$A$2:$A$14,0)),"?"))</f>
        <v/>
      </c>
      <c r="F618" s="12"/>
      <c r="H618" s="0" t="str">
        <f aca="false">IF(OR(B618="",F618=""),"",F618-ROW()/100000)</f>
        <v/>
      </c>
      <c r="I618" s="0" t="str">
        <f aca="false">IF(H618="","",C618&amp;"|"&amp;(COUNTIFS($C$2:$C$1000,C618,$H$2:$H$1000,"&gt;"&amp;H618)+1))</f>
        <v/>
      </c>
    </row>
    <row r="619" customFormat="false" ht="15" hidden="false" customHeight="false" outlineLevel="0" collapsed="false">
      <c r="A619" s="8" t="str">
        <f aca="false">IF(F619="","",COUNTIF($F$2:$F$1000,"&gt;"&amp;F619)+1)</f>
        <v/>
      </c>
      <c r="B619" s="9"/>
      <c r="C619" s="10"/>
      <c r="D619" s="11" t="str">
        <f aca="false">IF(C619="","",IFERROR(INDEX(Summary!$B$2:$B$14,MATCH(C619,Summary!$A$2:$A$14,0)),"?"))</f>
        <v/>
      </c>
      <c r="E619" s="11" t="str">
        <f aca="false">IF(C619="","",IFERROR(INDEX(Summary!$C$2:$C$14,MATCH(C619,Summary!$A$2:$A$14,0)),"?"))</f>
        <v/>
      </c>
      <c r="F619" s="12"/>
      <c r="H619" s="0" t="str">
        <f aca="false">IF(OR(B619="",F619=""),"",F619-ROW()/100000)</f>
        <v/>
      </c>
      <c r="I619" s="0" t="str">
        <f aca="false">IF(H619="","",C619&amp;"|"&amp;(COUNTIFS($C$2:$C$1000,C619,$H$2:$H$1000,"&gt;"&amp;H619)+1))</f>
        <v/>
      </c>
    </row>
    <row r="620" customFormat="false" ht="15" hidden="false" customHeight="false" outlineLevel="0" collapsed="false">
      <c r="A620" s="8" t="str">
        <f aca="false">IF(F620="","",COUNTIF($F$2:$F$1000,"&gt;"&amp;F620)+1)</f>
        <v/>
      </c>
      <c r="B620" s="9"/>
      <c r="C620" s="10"/>
      <c r="D620" s="11" t="str">
        <f aca="false">IF(C620="","",IFERROR(INDEX(Summary!$B$2:$B$14,MATCH(C620,Summary!$A$2:$A$14,0)),"?"))</f>
        <v/>
      </c>
      <c r="E620" s="11" t="str">
        <f aca="false">IF(C620="","",IFERROR(INDEX(Summary!$C$2:$C$14,MATCH(C620,Summary!$A$2:$A$14,0)),"?"))</f>
        <v/>
      </c>
      <c r="F620" s="12"/>
      <c r="H620" s="0" t="str">
        <f aca="false">IF(OR(B620="",F620=""),"",F620-ROW()/100000)</f>
        <v/>
      </c>
      <c r="I620" s="0" t="str">
        <f aca="false">IF(H620="","",C620&amp;"|"&amp;(COUNTIFS($C$2:$C$1000,C620,$H$2:$H$1000,"&gt;"&amp;H620)+1))</f>
        <v/>
      </c>
    </row>
    <row r="621" customFormat="false" ht="15" hidden="false" customHeight="false" outlineLevel="0" collapsed="false">
      <c r="A621" s="8" t="str">
        <f aca="false">IF(F621="","",COUNTIF($F$2:$F$1000,"&gt;"&amp;F621)+1)</f>
        <v/>
      </c>
      <c r="B621" s="9"/>
      <c r="C621" s="10"/>
      <c r="D621" s="11" t="str">
        <f aca="false">IF(C621="","",IFERROR(INDEX(Summary!$B$2:$B$14,MATCH(C621,Summary!$A$2:$A$14,0)),"?"))</f>
        <v/>
      </c>
      <c r="E621" s="11" t="str">
        <f aca="false">IF(C621="","",IFERROR(INDEX(Summary!$C$2:$C$14,MATCH(C621,Summary!$A$2:$A$14,0)),"?"))</f>
        <v/>
      </c>
      <c r="F621" s="12"/>
      <c r="H621" s="0" t="str">
        <f aca="false">IF(OR(B621="",F621=""),"",F621-ROW()/100000)</f>
        <v/>
      </c>
      <c r="I621" s="0" t="str">
        <f aca="false">IF(H621="","",C621&amp;"|"&amp;(COUNTIFS($C$2:$C$1000,C621,$H$2:$H$1000,"&gt;"&amp;H621)+1))</f>
        <v/>
      </c>
    </row>
    <row r="622" customFormat="false" ht="15" hidden="false" customHeight="false" outlineLevel="0" collapsed="false">
      <c r="A622" s="8" t="str">
        <f aca="false">IF(F622="","",COUNTIF($F$2:$F$1000,"&gt;"&amp;F622)+1)</f>
        <v/>
      </c>
      <c r="B622" s="9"/>
      <c r="C622" s="10"/>
      <c r="D622" s="11" t="str">
        <f aca="false">IF(C622="","",IFERROR(INDEX(Summary!$B$2:$B$14,MATCH(C622,Summary!$A$2:$A$14,0)),"?"))</f>
        <v/>
      </c>
      <c r="E622" s="11" t="str">
        <f aca="false">IF(C622="","",IFERROR(INDEX(Summary!$C$2:$C$14,MATCH(C622,Summary!$A$2:$A$14,0)),"?"))</f>
        <v/>
      </c>
      <c r="F622" s="12"/>
      <c r="H622" s="0" t="str">
        <f aca="false">IF(OR(B622="",F622=""),"",F622-ROW()/100000)</f>
        <v/>
      </c>
      <c r="I622" s="0" t="str">
        <f aca="false">IF(H622="","",C622&amp;"|"&amp;(COUNTIFS($C$2:$C$1000,C622,$H$2:$H$1000,"&gt;"&amp;H622)+1))</f>
        <v/>
      </c>
    </row>
    <row r="623" customFormat="false" ht="15" hidden="false" customHeight="false" outlineLevel="0" collapsed="false">
      <c r="A623" s="8" t="str">
        <f aca="false">IF(F623="","",COUNTIF($F$2:$F$1000,"&gt;"&amp;F623)+1)</f>
        <v/>
      </c>
      <c r="B623" s="9"/>
      <c r="C623" s="10"/>
      <c r="D623" s="11" t="str">
        <f aca="false">IF(C623="","",IFERROR(INDEX(Summary!$B$2:$B$14,MATCH(C623,Summary!$A$2:$A$14,0)),"?"))</f>
        <v/>
      </c>
      <c r="E623" s="11" t="str">
        <f aca="false">IF(C623="","",IFERROR(INDEX(Summary!$C$2:$C$14,MATCH(C623,Summary!$A$2:$A$14,0)),"?"))</f>
        <v/>
      </c>
      <c r="F623" s="12"/>
      <c r="H623" s="0" t="str">
        <f aca="false">IF(OR(B623="",F623=""),"",F623-ROW()/100000)</f>
        <v/>
      </c>
      <c r="I623" s="0" t="str">
        <f aca="false">IF(H623="","",C623&amp;"|"&amp;(COUNTIFS($C$2:$C$1000,C623,$H$2:$H$1000,"&gt;"&amp;H623)+1))</f>
        <v/>
      </c>
    </row>
    <row r="624" customFormat="false" ht="15" hidden="false" customHeight="false" outlineLevel="0" collapsed="false">
      <c r="A624" s="8" t="str">
        <f aca="false">IF(F624="","",COUNTIF($F$2:$F$1000,"&gt;"&amp;F624)+1)</f>
        <v/>
      </c>
      <c r="B624" s="9"/>
      <c r="C624" s="10"/>
      <c r="D624" s="11" t="str">
        <f aca="false">IF(C624="","",IFERROR(INDEX(Summary!$B$2:$B$14,MATCH(C624,Summary!$A$2:$A$14,0)),"?"))</f>
        <v/>
      </c>
      <c r="E624" s="11" t="str">
        <f aca="false">IF(C624="","",IFERROR(INDEX(Summary!$C$2:$C$14,MATCH(C624,Summary!$A$2:$A$14,0)),"?"))</f>
        <v/>
      </c>
      <c r="F624" s="12"/>
      <c r="H624" s="0" t="str">
        <f aca="false">IF(OR(B624="",F624=""),"",F624-ROW()/100000)</f>
        <v/>
      </c>
      <c r="I624" s="0" t="str">
        <f aca="false">IF(H624="","",C624&amp;"|"&amp;(COUNTIFS($C$2:$C$1000,C624,$H$2:$H$1000,"&gt;"&amp;H624)+1))</f>
        <v/>
      </c>
    </row>
    <row r="625" customFormat="false" ht="15" hidden="false" customHeight="false" outlineLevel="0" collapsed="false">
      <c r="A625" s="8" t="str">
        <f aca="false">IF(F625="","",COUNTIF($F$2:$F$1000,"&gt;"&amp;F625)+1)</f>
        <v/>
      </c>
      <c r="B625" s="9"/>
      <c r="C625" s="10"/>
      <c r="D625" s="11" t="str">
        <f aca="false">IF(C625="","",IFERROR(INDEX(Summary!$B$2:$B$14,MATCH(C625,Summary!$A$2:$A$14,0)),"?"))</f>
        <v/>
      </c>
      <c r="E625" s="11" t="str">
        <f aca="false">IF(C625="","",IFERROR(INDEX(Summary!$C$2:$C$14,MATCH(C625,Summary!$A$2:$A$14,0)),"?"))</f>
        <v/>
      </c>
      <c r="F625" s="12"/>
      <c r="H625" s="0" t="str">
        <f aca="false">IF(OR(B625="",F625=""),"",F625-ROW()/100000)</f>
        <v/>
      </c>
      <c r="I625" s="0" t="str">
        <f aca="false">IF(H625="","",C625&amp;"|"&amp;(COUNTIFS($C$2:$C$1000,C625,$H$2:$H$1000,"&gt;"&amp;H625)+1))</f>
        <v/>
      </c>
    </row>
    <row r="626" customFormat="false" ht="15" hidden="false" customHeight="false" outlineLevel="0" collapsed="false">
      <c r="A626" s="8" t="str">
        <f aca="false">IF(F626="","",COUNTIF($F$2:$F$1000,"&gt;"&amp;F626)+1)</f>
        <v/>
      </c>
      <c r="B626" s="9"/>
      <c r="C626" s="10"/>
      <c r="D626" s="11" t="str">
        <f aca="false">IF(C626="","",IFERROR(INDEX(Summary!$B$2:$B$14,MATCH(C626,Summary!$A$2:$A$14,0)),"?"))</f>
        <v/>
      </c>
      <c r="E626" s="11" t="str">
        <f aca="false">IF(C626="","",IFERROR(INDEX(Summary!$C$2:$C$14,MATCH(C626,Summary!$A$2:$A$14,0)),"?"))</f>
        <v/>
      </c>
      <c r="F626" s="12"/>
      <c r="H626" s="0" t="str">
        <f aca="false">IF(OR(B626="",F626=""),"",F626-ROW()/100000)</f>
        <v/>
      </c>
      <c r="I626" s="0" t="str">
        <f aca="false">IF(H626="","",C626&amp;"|"&amp;(COUNTIFS($C$2:$C$1000,C626,$H$2:$H$1000,"&gt;"&amp;H626)+1))</f>
        <v/>
      </c>
    </row>
    <row r="627" customFormat="false" ht="15" hidden="false" customHeight="false" outlineLevel="0" collapsed="false">
      <c r="A627" s="8" t="str">
        <f aca="false">IF(F627="","",COUNTIF($F$2:$F$1000,"&gt;"&amp;F627)+1)</f>
        <v/>
      </c>
      <c r="B627" s="9"/>
      <c r="C627" s="10"/>
      <c r="D627" s="11" t="str">
        <f aca="false">IF(C627="","",IFERROR(INDEX(Summary!$B$2:$B$14,MATCH(C627,Summary!$A$2:$A$14,0)),"?"))</f>
        <v/>
      </c>
      <c r="E627" s="11" t="str">
        <f aca="false">IF(C627="","",IFERROR(INDEX(Summary!$C$2:$C$14,MATCH(C627,Summary!$A$2:$A$14,0)),"?"))</f>
        <v/>
      </c>
      <c r="F627" s="12"/>
      <c r="H627" s="0" t="str">
        <f aca="false">IF(OR(B627="",F627=""),"",F627-ROW()/100000)</f>
        <v/>
      </c>
      <c r="I627" s="0" t="str">
        <f aca="false">IF(H627="","",C627&amp;"|"&amp;(COUNTIFS($C$2:$C$1000,C627,$H$2:$H$1000,"&gt;"&amp;H627)+1))</f>
        <v/>
      </c>
    </row>
    <row r="628" customFormat="false" ht="15" hidden="false" customHeight="false" outlineLevel="0" collapsed="false">
      <c r="A628" s="8" t="str">
        <f aca="false">IF(F628="","",COUNTIF($F$2:$F$1000,"&gt;"&amp;F628)+1)</f>
        <v/>
      </c>
      <c r="B628" s="9"/>
      <c r="C628" s="10"/>
      <c r="D628" s="11" t="str">
        <f aca="false">IF(C628="","",IFERROR(INDEX(Summary!$B$2:$B$14,MATCH(C628,Summary!$A$2:$A$14,0)),"?"))</f>
        <v/>
      </c>
      <c r="E628" s="11" t="str">
        <f aca="false">IF(C628="","",IFERROR(INDEX(Summary!$C$2:$C$14,MATCH(C628,Summary!$A$2:$A$14,0)),"?"))</f>
        <v/>
      </c>
      <c r="F628" s="12"/>
      <c r="H628" s="0" t="str">
        <f aca="false">IF(OR(B628="",F628=""),"",F628-ROW()/100000)</f>
        <v/>
      </c>
      <c r="I628" s="0" t="str">
        <f aca="false">IF(H628="","",C628&amp;"|"&amp;(COUNTIFS($C$2:$C$1000,C628,$H$2:$H$1000,"&gt;"&amp;H628)+1))</f>
        <v/>
      </c>
    </row>
    <row r="629" customFormat="false" ht="15" hidden="false" customHeight="false" outlineLevel="0" collapsed="false">
      <c r="A629" s="8" t="str">
        <f aca="false">IF(F629="","",COUNTIF($F$2:$F$1000,"&gt;"&amp;F629)+1)</f>
        <v/>
      </c>
      <c r="B629" s="9"/>
      <c r="C629" s="10"/>
      <c r="D629" s="11" t="str">
        <f aca="false">IF(C629="","",IFERROR(INDEX(Summary!$B$2:$B$14,MATCH(C629,Summary!$A$2:$A$14,0)),"?"))</f>
        <v/>
      </c>
      <c r="E629" s="11" t="str">
        <f aca="false">IF(C629="","",IFERROR(INDEX(Summary!$C$2:$C$14,MATCH(C629,Summary!$A$2:$A$14,0)),"?"))</f>
        <v/>
      </c>
      <c r="F629" s="12"/>
      <c r="H629" s="0" t="str">
        <f aca="false">IF(OR(B629="",F629=""),"",F629-ROW()/100000)</f>
        <v/>
      </c>
      <c r="I629" s="0" t="str">
        <f aca="false">IF(H629="","",C629&amp;"|"&amp;(COUNTIFS($C$2:$C$1000,C629,$H$2:$H$1000,"&gt;"&amp;H629)+1))</f>
        <v/>
      </c>
    </row>
    <row r="630" customFormat="false" ht="15" hidden="false" customHeight="false" outlineLevel="0" collapsed="false">
      <c r="A630" s="8" t="str">
        <f aca="false">IF(F630="","",COUNTIF($F$2:$F$1000,"&gt;"&amp;F630)+1)</f>
        <v/>
      </c>
      <c r="B630" s="9"/>
      <c r="C630" s="10"/>
      <c r="D630" s="11" t="str">
        <f aca="false">IF(C630="","",IFERROR(INDEX(Summary!$B$2:$B$14,MATCH(C630,Summary!$A$2:$A$14,0)),"?"))</f>
        <v/>
      </c>
      <c r="E630" s="11" t="str">
        <f aca="false">IF(C630="","",IFERROR(INDEX(Summary!$C$2:$C$14,MATCH(C630,Summary!$A$2:$A$14,0)),"?"))</f>
        <v/>
      </c>
      <c r="F630" s="12"/>
      <c r="H630" s="0" t="str">
        <f aca="false">IF(OR(B630="",F630=""),"",F630-ROW()/100000)</f>
        <v/>
      </c>
      <c r="I630" s="0" t="str">
        <f aca="false">IF(H630="","",C630&amp;"|"&amp;(COUNTIFS($C$2:$C$1000,C630,$H$2:$H$1000,"&gt;"&amp;H630)+1))</f>
        <v/>
      </c>
    </row>
    <row r="631" customFormat="false" ht="15" hidden="false" customHeight="false" outlineLevel="0" collapsed="false">
      <c r="A631" s="8" t="str">
        <f aca="false">IF(F631="","",COUNTIF($F$2:$F$1000,"&gt;"&amp;F631)+1)</f>
        <v/>
      </c>
      <c r="B631" s="9"/>
      <c r="C631" s="10"/>
      <c r="D631" s="11" t="str">
        <f aca="false">IF(C631="","",IFERROR(INDEX(Summary!$B$2:$B$14,MATCH(C631,Summary!$A$2:$A$14,0)),"?"))</f>
        <v/>
      </c>
      <c r="E631" s="11" t="str">
        <f aca="false">IF(C631="","",IFERROR(INDEX(Summary!$C$2:$C$14,MATCH(C631,Summary!$A$2:$A$14,0)),"?"))</f>
        <v/>
      </c>
      <c r="F631" s="12"/>
      <c r="H631" s="0" t="str">
        <f aca="false">IF(OR(B631="",F631=""),"",F631-ROW()/100000)</f>
        <v/>
      </c>
      <c r="I631" s="0" t="str">
        <f aca="false">IF(H631="","",C631&amp;"|"&amp;(COUNTIFS($C$2:$C$1000,C631,$H$2:$H$1000,"&gt;"&amp;H631)+1))</f>
        <v/>
      </c>
    </row>
    <row r="632" customFormat="false" ht="15" hidden="false" customHeight="false" outlineLevel="0" collapsed="false">
      <c r="A632" s="8" t="str">
        <f aca="false">IF(F632="","",COUNTIF($F$2:$F$1000,"&gt;"&amp;F632)+1)</f>
        <v/>
      </c>
      <c r="B632" s="9"/>
      <c r="C632" s="10"/>
      <c r="D632" s="11" t="str">
        <f aca="false">IF(C632="","",IFERROR(INDEX(Summary!$B$2:$B$14,MATCH(C632,Summary!$A$2:$A$14,0)),"?"))</f>
        <v/>
      </c>
      <c r="E632" s="11" t="str">
        <f aca="false">IF(C632="","",IFERROR(INDEX(Summary!$C$2:$C$14,MATCH(C632,Summary!$A$2:$A$14,0)),"?"))</f>
        <v/>
      </c>
      <c r="F632" s="12"/>
      <c r="H632" s="0" t="str">
        <f aca="false">IF(OR(B632="",F632=""),"",F632-ROW()/100000)</f>
        <v/>
      </c>
      <c r="I632" s="0" t="str">
        <f aca="false">IF(H632="","",C632&amp;"|"&amp;(COUNTIFS($C$2:$C$1000,C632,$H$2:$H$1000,"&gt;"&amp;H632)+1))</f>
        <v/>
      </c>
    </row>
    <row r="633" customFormat="false" ht="15" hidden="false" customHeight="false" outlineLevel="0" collapsed="false">
      <c r="A633" s="8" t="str">
        <f aca="false">IF(F633="","",COUNTIF($F$2:$F$1000,"&gt;"&amp;F633)+1)</f>
        <v/>
      </c>
      <c r="B633" s="9"/>
      <c r="C633" s="10"/>
      <c r="D633" s="11" t="str">
        <f aca="false">IF(C633="","",IFERROR(INDEX(Summary!$B$2:$B$14,MATCH(C633,Summary!$A$2:$A$14,0)),"?"))</f>
        <v/>
      </c>
      <c r="E633" s="11" t="str">
        <f aca="false">IF(C633="","",IFERROR(INDEX(Summary!$C$2:$C$14,MATCH(C633,Summary!$A$2:$A$14,0)),"?"))</f>
        <v/>
      </c>
      <c r="F633" s="12"/>
      <c r="H633" s="0" t="str">
        <f aca="false">IF(OR(B633="",F633=""),"",F633-ROW()/100000)</f>
        <v/>
      </c>
      <c r="I633" s="0" t="str">
        <f aca="false">IF(H633="","",C633&amp;"|"&amp;(COUNTIFS($C$2:$C$1000,C633,$H$2:$H$1000,"&gt;"&amp;H633)+1))</f>
        <v/>
      </c>
    </row>
    <row r="634" customFormat="false" ht="15" hidden="false" customHeight="false" outlineLevel="0" collapsed="false">
      <c r="A634" s="8" t="str">
        <f aca="false">IF(F634="","",COUNTIF($F$2:$F$1000,"&gt;"&amp;F634)+1)</f>
        <v/>
      </c>
      <c r="B634" s="9"/>
      <c r="C634" s="10"/>
      <c r="D634" s="11" t="str">
        <f aca="false">IF(C634="","",IFERROR(INDEX(Summary!$B$2:$B$14,MATCH(C634,Summary!$A$2:$A$14,0)),"?"))</f>
        <v/>
      </c>
      <c r="E634" s="11" t="str">
        <f aca="false">IF(C634="","",IFERROR(INDEX(Summary!$C$2:$C$14,MATCH(C634,Summary!$A$2:$A$14,0)),"?"))</f>
        <v/>
      </c>
      <c r="F634" s="12"/>
      <c r="H634" s="0" t="str">
        <f aca="false">IF(OR(B634="",F634=""),"",F634-ROW()/100000)</f>
        <v/>
      </c>
      <c r="I634" s="0" t="str">
        <f aca="false">IF(H634="","",C634&amp;"|"&amp;(COUNTIFS($C$2:$C$1000,C634,$H$2:$H$1000,"&gt;"&amp;H634)+1))</f>
        <v/>
      </c>
    </row>
    <row r="635" customFormat="false" ht="15" hidden="false" customHeight="false" outlineLevel="0" collapsed="false">
      <c r="A635" s="8" t="str">
        <f aca="false">IF(F635="","",COUNTIF($F$2:$F$1000,"&gt;"&amp;F635)+1)</f>
        <v/>
      </c>
      <c r="B635" s="9"/>
      <c r="C635" s="10"/>
      <c r="D635" s="11" t="str">
        <f aca="false">IF(C635="","",IFERROR(INDEX(Summary!$B$2:$B$14,MATCH(C635,Summary!$A$2:$A$14,0)),"?"))</f>
        <v/>
      </c>
      <c r="E635" s="11" t="str">
        <f aca="false">IF(C635="","",IFERROR(INDEX(Summary!$C$2:$C$14,MATCH(C635,Summary!$A$2:$A$14,0)),"?"))</f>
        <v/>
      </c>
      <c r="F635" s="12"/>
      <c r="H635" s="0" t="str">
        <f aca="false">IF(OR(B635="",F635=""),"",F635-ROW()/100000)</f>
        <v/>
      </c>
      <c r="I635" s="0" t="str">
        <f aca="false">IF(H635="","",C635&amp;"|"&amp;(COUNTIFS($C$2:$C$1000,C635,$H$2:$H$1000,"&gt;"&amp;H635)+1))</f>
        <v/>
      </c>
    </row>
    <row r="636" customFormat="false" ht="15" hidden="false" customHeight="false" outlineLevel="0" collapsed="false">
      <c r="A636" s="8" t="str">
        <f aca="false">IF(F636="","",COUNTIF($F$2:$F$1000,"&gt;"&amp;F636)+1)</f>
        <v/>
      </c>
      <c r="B636" s="9"/>
      <c r="C636" s="10"/>
      <c r="D636" s="11" t="str">
        <f aca="false">IF(C636="","",IFERROR(INDEX(Summary!$B$2:$B$14,MATCH(C636,Summary!$A$2:$A$14,0)),"?"))</f>
        <v/>
      </c>
      <c r="E636" s="11" t="str">
        <f aca="false">IF(C636="","",IFERROR(INDEX(Summary!$C$2:$C$14,MATCH(C636,Summary!$A$2:$A$14,0)),"?"))</f>
        <v/>
      </c>
      <c r="F636" s="12"/>
      <c r="H636" s="0" t="str">
        <f aca="false">IF(OR(B636="",F636=""),"",F636-ROW()/100000)</f>
        <v/>
      </c>
      <c r="I636" s="0" t="str">
        <f aca="false">IF(H636="","",C636&amp;"|"&amp;(COUNTIFS($C$2:$C$1000,C636,$H$2:$H$1000,"&gt;"&amp;H636)+1))</f>
        <v/>
      </c>
    </row>
    <row r="637" customFormat="false" ht="15" hidden="false" customHeight="false" outlineLevel="0" collapsed="false">
      <c r="A637" s="8" t="str">
        <f aca="false">IF(F637="","",COUNTIF($F$2:$F$1000,"&gt;"&amp;F637)+1)</f>
        <v/>
      </c>
      <c r="B637" s="9"/>
      <c r="C637" s="10"/>
      <c r="D637" s="11" t="str">
        <f aca="false">IF(C637="","",IFERROR(INDEX(Summary!$B$2:$B$14,MATCH(C637,Summary!$A$2:$A$14,0)),"?"))</f>
        <v/>
      </c>
      <c r="E637" s="11" t="str">
        <f aca="false">IF(C637="","",IFERROR(INDEX(Summary!$C$2:$C$14,MATCH(C637,Summary!$A$2:$A$14,0)),"?"))</f>
        <v/>
      </c>
      <c r="F637" s="12"/>
      <c r="H637" s="0" t="str">
        <f aca="false">IF(OR(B637="",F637=""),"",F637-ROW()/100000)</f>
        <v/>
      </c>
      <c r="I637" s="0" t="str">
        <f aca="false">IF(H637="","",C637&amp;"|"&amp;(COUNTIFS($C$2:$C$1000,C637,$H$2:$H$1000,"&gt;"&amp;H637)+1))</f>
        <v/>
      </c>
    </row>
    <row r="638" customFormat="false" ht="15" hidden="false" customHeight="false" outlineLevel="0" collapsed="false">
      <c r="A638" s="8" t="str">
        <f aca="false">IF(F638="","",COUNTIF($F$2:$F$1000,"&gt;"&amp;F638)+1)</f>
        <v/>
      </c>
      <c r="B638" s="9"/>
      <c r="C638" s="10"/>
      <c r="D638" s="11" t="str">
        <f aca="false">IF(C638="","",IFERROR(INDEX(Summary!$B$2:$B$14,MATCH(C638,Summary!$A$2:$A$14,0)),"?"))</f>
        <v/>
      </c>
      <c r="E638" s="11" t="str">
        <f aca="false">IF(C638="","",IFERROR(INDEX(Summary!$C$2:$C$14,MATCH(C638,Summary!$A$2:$A$14,0)),"?"))</f>
        <v/>
      </c>
      <c r="F638" s="12"/>
      <c r="H638" s="0" t="str">
        <f aca="false">IF(OR(B638="",F638=""),"",F638-ROW()/100000)</f>
        <v/>
      </c>
      <c r="I638" s="0" t="str">
        <f aca="false">IF(H638="","",C638&amp;"|"&amp;(COUNTIFS($C$2:$C$1000,C638,$H$2:$H$1000,"&gt;"&amp;H638)+1))</f>
        <v/>
      </c>
    </row>
    <row r="639" customFormat="false" ht="15" hidden="false" customHeight="false" outlineLevel="0" collapsed="false">
      <c r="A639" s="8" t="str">
        <f aca="false">IF(F639="","",COUNTIF($F$2:$F$1000,"&gt;"&amp;F639)+1)</f>
        <v/>
      </c>
      <c r="B639" s="9"/>
      <c r="C639" s="10"/>
      <c r="D639" s="11" t="str">
        <f aca="false">IF(C639="","",IFERROR(INDEX(Summary!$B$2:$B$14,MATCH(C639,Summary!$A$2:$A$14,0)),"?"))</f>
        <v/>
      </c>
      <c r="E639" s="11" t="str">
        <f aca="false">IF(C639="","",IFERROR(INDEX(Summary!$C$2:$C$14,MATCH(C639,Summary!$A$2:$A$14,0)),"?"))</f>
        <v/>
      </c>
      <c r="F639" s="12"/>
      <c r="H639" s="0" t="str">
        <f aca="false">IF(OR(B639="",F639=""),"",F639-ROW()/100000)</f>
        <v/>
      </c>
      <c r="I639" s="0" t="str">
        <f aca="false">IF(H639="","",C639&amp;"|"&amp;(COUNTIFS($C$2:$C$1000,C639,$H$2:$H$1000,"&gt;"&amp;H639)+1))</f>
        <v/>
      </c>
    </row>
    <row r="640" customFormat="false" ht="15" hidden="false" customHeight="false" outlineLevel="0" collapsed="false">
      <c r="A640" s="8" t="str">
        <f aca="false">IF(F640="","",COUNTIF($F$2:$F$1000,"&gt;"&amp;F640)+1)</f>
        <v/>
      </c>
      <c r="B640" s="9"/>
      <c r="C640" s="10"/>
      <c r="D640" s="11" t="str">
        <f aca="false">IF(C640="","",IFERROR(INDEX(Summary!$B$2:$B$14,MATCH(C640,Summary!$A$2:$A$14,0)),"?"))</f>
        <v/>
      </c>
      <c r="E640" s="11" t="str">
        <f aca="false">IF(C640="","",IFERROR(INDEX(Summary!$C$2:$C$14,MATCH(C640,Summary!$A$2:$A$14,0)),"?"))</f>
        <v/>
      </c>
      <c r="F640" s="12"/>
      <c r="H640" s="0" t="str">
        <f aca="false">IF(OR(B640="",F640=""),"",F640-ROW()/100000)</f>
        <v/>
      </c>
      <c r="I640" s="0" t="str">
        <f aca="false">IF(H640="","",C640&amp;"|"&amp;(COUNTIFS($C$2:$C$1000,C640,$H$2:$H$1000,"&gt;"&amp;H640)+1))</f>
        <v/>
      </c>
    </row>
    <row r="641" customFormat="false" ht="15" hidden="false" customHeight="false" outlineLevel="0" collapsed="false">
      <c r="A641" s="8" t="str">
        <f aca="false">IF(F641="","",COUNTIF($F$2:$F$1000,"&gt;"&amp;F641)+1)</f>
        <v/>
      </c>
      <c r="B641" s="9"/>
      <c r="C641" s="10"/>
      <c r="D641" s="11" t="str">
        <f aca="false">IF(C641="","",IFERROR(INDEX(Summary!$B$2:$B$14,MATCH(C641,Summary!$A$2:$A$14,0)),"?"))</f>
        <v/>
      </c>
      <c r="E641" s="11" t="str">
        <f aca="false">IF(C641="","",IFERROR(INDEX(Summary!$C$2:$C$14,MATCH(C641,Summary!$A$2:$A$14,0)),"?"))</f>
        <v/>
      </c>
      <c r="F641" s="12"/>
      <c r="H641" s="0" t="str">
        <f aca="false">IF(OR(B641="",F641=""),"",F641-ROW()/100000)</f>
        <v/>
      </c>
      <c r="I641" s="0" t="str">
        <f aca="false">IF(H641="","",C641&amp;"|"&amp;(COUNTIFS($C$2:$C$1000,C641,$H$2:$H$1000,"&gt;"&amp;H641)+1))</f>
        <v/>
      </c>
    </row>
    <row r="642" customFormat="false" ht="15" hidden="false" customHeight="false" outlineLevel="0" collapsed="false">
      <c r="A642" s="8" t="str">
        <f aca="false">IF(F642="","",COUNTIF($F$2:$F$1000,"&gt;"&amp;F642)+1)</f>
        <v/>
      </c>
      <c r="B642" s="9"/>
      <c r="C642" s="10"/>
      <c r="D642" s="11" t="str">
        <f aca="false">IF(C642="","",IFERROR(INDEX(Summary!$B$2:$B$14,MATCH(C642,Summary!$A$2:$A$14,0)),"?"))</f>
        <v/>
      </c>
      <c r="E642" s="11" t="str">
        <f aca="false">IF(C642="","",IFERROR(INDEX(Summary!$C$2:$C$14,MATCH(C642,Summary!$A$2:$A$14,0)),"?"))</f>
        <v/>
      </c>
      <c r="F642" s="12"/>
      <c r="H642" s="0" t="str">
        <f aca="false">IF(OR(B642="",F642=""),"",F642-ROW()/100000)</f>
        <v/>
      </c>
      <c r="I642" s="0" t="str">
        <f aca="false">IF(H642="","",C642&amp;"|"&amp;(COUNTIFS($C$2:$C$1000,C642,$H$2:$H$1000,"&gt;"&amp;H642)+1))</f>
        <v/>
      </c>
    </row>
    <row r="643" customFormat="false" ht="15" hidden="false" customHeight="false" outlineLevel="0" collapsed="false">
      <c r="A643" s="8" t="str">
        <f aca="false">IF(F643="","",COUNTIF($F$2:$F$1000,"&gt;"&amp;F643)+1)</f>
        <v/>
      </c>
      <c r="B643" s="9"/>
      <c r="C643" s="10"/>
      <c r="D643" s="11" t="str">
        <f aca="false">IF(C643="","",IFERROR(INDEX(Summary!$B$2:$B$14,MATCH(C643,Summary!$A$2:$A$14,0)),"?"))</f>
        <v/>
      </c>
      <c r="E643" s="11" t="str">
        <f aca="false">IF(C643="","",IFERROR(INDEX(Summary!$C$2:$C$14,MATCH(C643,Summary!$A$2:$A$14,0)),"?"))</f>
        <v/>
      </c>
      <c r="F643" s="12"/>
      <c r="H643" s="0" t="str">
        <f aca="false">IF(OR(B643="",F643=""),"",F643-ROW()/100000)</f>
        <v/>
      </c>
      <c r="I643" s="0" t="str">
        <f aca="false">IF(H643="","",C643&amp;"|"&amp;(COUNTIFS($C$2:$C$1000,C643,$H$2:$H$1000,"&gt;"&amp;H643)+1))</f>
        <v/>
      </c>
    </row>
    <row r="644" customFormat="false" ht="15" hidden="false" customHeight="false" outlineLevel="0" collapsed="false">
      <c r="A644" s="8" t="str">
        <f aca="false">IF(F644="","",COUNTIF($F$2:$F$1000,"&gt;"&amp;F644)+1)</f>
        <v/>
      </c>
      <c r="B644" s="9"/>
      <c r="C644" s="10"/>
      <c r="D644" s="11" t="str">
        <f aca="false">IF(C644="","",IFERROR(INDEX(Summary!$B$2:$B$14,MATCH(C644,Summary!$A$2:$A$14,0)),"?"))</f>
        <v/>
      </c>
      <c r="E644" s="11" t="str">
        <f aca="false">IF(C644="","",IFERROR(INDEX(Summary!$C$2:$C$14,MATCH(C644,Summary!$A$2:$A$14,0)),"?"))</f>
        <v/>
      </c>
      <c r="F644" s="12"/>
      <c r="H644" s="0" t="str">
        <f aca="false">IF(OR(B644="",F644=""),"",F644-ROW()/100000)</f>
        <v/>
      </c>
      <c r="I644" s="0" t="str">
        <f aca="false">IF(H644="","",C644&amp;"|"&amp;(COUNTIFS($C$2:$C$1000,C644,$H$2:$H$1000,"&gt;"&amp;H644)+1))</f>
        <v/>
      </c>
    </row>
    <row r="645" customFormat="false" ht="15" hidden="false" customHeight="false" outlineLevel="0" collapsed="false">
      <c r="A645" s="8" t="str">
        <f aca="false">IF(F645="","",COUNTIF($F$2:$F$1000,"&gt;"&amp;F645)+1)</f>
        <v/>
      </c>
      <c r="B645" s="9"/>
      <c r="C645" s="10"/>
      <c r="D645" s="11" t="str">
        <f aca="false">IF(C645="","",IFERROR(INDEX(Summary!$B$2:$B$14,MATCH(C645,Summary!$A$2:$A$14,0)),"?"))</f>
        <v/>
      </c>
      <c r="E645" s="11" t="str">
        <f aca="false">IF(C645="","",IFERROR(INDEX(Summary!$C$2:$C$14,MATCH(C645,Summary!$A$2:$A$14,0)),"?"))</f>
        <v/>
      </c>
      <c r="F645" s="12"/>
      <c r="H645" s="0" t="str">
        <f aca="false">IF(OR(B645="",F645=""),"",F645-ROW()/100000)</f>
        <v/>
      </c>
      <c r="I645" s="0" t="str">
        <f aca="false">IF(H645="","",C645&amp;"|"&amp;(COUNTIFS($C$2:$C$1000,C645,$H$2:$H$1000,"&gt;"&amp;H645)+1))</f>
        <v/>
      </c>
    </row>
    <row r="646" customFormat="false" ht="15" hidden="false" customHeight="false" outlineLevel="0" collapsed="false">
      <c r="A646" s="8" t="str">
        <f aca="false">IF(F646="","",COUNTIF($F$2:$F$1000,"&gt;"&amp;F646)+1)</f>
        <v/>
      </c>
      <c r="B646" s="9"/>
      <c r="C646" s="10"/>
      <c r="D646" s="11" t="str">
        <f aca="false">IF(C646="","",IFERROR(INDEX(Summary!$B$2:$B$14,MATCH(C646,Summary!$A$2:$A$14,0)),"?"))</f>
        <v/>
      </c>
      <c r="E646" s="11" t="str">
        <f aca="false">IF(C646="","",IFERROR(INDEX(Summary!$C$2:$C$14,MATCH(C646,Summary!$A$2:$A$14,0)),"?"))</f>
        <v/>
      </c>
      <c r="F646" s="12"/>
      <c r="H646" s="0" t="str">
        <f aca="false">IF(OR(B646="",F646=""),"",F646-ROW()/100000)</f>
        <v/>
      </c>
      <c r="I646" s="0" t="str">
        <f aca="false">IF(H646="","",C646&amp;"|"&amp;(COUNTIFS($C$2:$C$1000,C646,$H$2:$H$1000,"&gt;"&amp;H646)+1))</f>
        <v/>
      </c>
    </row>
    <row r="647" customFormat="false" ht="15" hidden="false" customHeight="false" outlineLevel="0" collapsed="false">
      <c r="A647" s="8" t="str">
        <f aca="false">IF(F647="","",COUNTIF($F$2:$F$1000,"&gt;"&amp;F647)+1)</f>
        <v/>
      </c>
      <c r="B647" s="9"/>
      <c r="C647" s="10"/>
      <c r="D647" s="11" t="str">
        <f aca="false">IF(C647="","",IFERROR(INDEX(Summary!$B$2:$B$14,MATCH(C647,Summary!$A$2:$A$14,0)),"?"))</f>
        <v/>
      </c>
      <c r="E647" s="11" t="str">
        <f aca="false">IF(C647="","",IFERROR(INDEX(Summary!$C$2:$C$14,MATCH(C647,Summary!$A$2:$A$14,0)),"?"))</f>
        <v/>
      </c>
      <c r="F647" s="12"/>
      <c r="H647" s="0" t="str">
        <f aca="false">IF(OR(B647="",F647=""),"",F647-ROW()/100000)</f>
        <v/>
      </c>
      <c r="I647" s="0" t="str">
        <f aca="false">IF(H647="","",C647&amp;"|"&amp;(COUNTIFS($C$2:$C$1000,C647,$H$2:$H$1000,"&gt;"&amp;H647)+1))</f>
        <v/>
      </c>
    </row>
    <row r="648" customFormat="false" ht="15" hidden="false" customHeight="false" outlineLevel="0" collapsed="false">
      <c r="A648" s="8" t="str">
        <f aca="false">IF(F648="","",COUNTIF($F$2:$F$1000,"&gt;"&amp;F648)+1)</f>
        <v/>
      </c>
      <c r="B648" s="9"/>
      <c r="C648" s="10"/>
      <c r="D648" s="11" t="str">
        <f aca="false">IF(C648="","",IFERROR(INDEX(Summary!$B$2:$B$14,MATCH(C648,Summary!$A$2:$A$14,0)),"?"))</f>
        <v/>
      </c>
      <c r="E648" s="11" t="str">
        <f aca="false">IF(C648="","",IFERROR(INDEX(Summary!$C$2:$C$14,MATCH(C648,Summary!$A$2:$A$14,0)),"?"))</f>
        <v/>
      </c>
      <c r="F648" s="12"/>
      <c r="H648" s="0" t="str">
        <f aca="false">IF(OR(B648="",F648=""),"",F648-ROW()/100000)</f>
        <v/>
      </c>
      <c r="I648" s="0" t="str">
        <f aca="false">IF(H648="","",C648&amp;"|"&amp;(COUNTIFS($C$2:$C$1000,C648,$H$2:$H$1000,"&gt;"&amp;H648)+1))</f>
        <v/>
      </c>
    </row>
    <row r="649" customFormat="false" ht="15" hidden="false" customHeight="false" outlineLevel="0" collapsed="false">
      <c r="A649" s="8" t="str">
        <f aca="false">IF(F649="","",COUNTIF($F$2:$F$1000,"&gt;"&amp;F649)+1)</f>
        <v/>
      </c>
      <c r="B649" s="9"/>
      <c r="C649" s="10"/>
      <c r="D649" s="11" t="str">
        <f aca="false">IF(C649="","",IFERROR(INDEX(Summary!$B$2:$B$14,MATCH(C649,Summary!$A$2:$A$14,0)),"?"))</f>
        <v/>
      </c>
      <c r="E649" s="11" t="str">
        <f aca="false">IF(C649="","",IFERROR(INDEX(Summary!$C$2:$C$14,MATCH(C649,Summary!$A$2:$A$14,0)),"?"))</f>
        <v/>
      </c>
      <c r="F649" s="12"/>
      <c r="H649" s="0" t="str">
        <f aca="false">IF(OR(B649="",F649=""),"",F649-ROW()/100000)</f>
        <v/>
      </c>
      <c r="I649" s="0" t="str">
        <f aca="false">IF(H649="","",C649&amp;"|"&amp;(COUNTIFS($C$2:$C$1000,C649,$H$2:$H$1000,"&gt;"&amp;H649)+1))</f>
        <v/>
      </c>
    </row>
    <row r="650" customFormat="false" ht="15" hidden="false" customHeight="false" outlineLevel="0" collapsed="false">
      <c r="A650" s="8" t="str">
        <f aca="false">IF(F650="","",COUNTIF($F$2:$F$1000,"&gt;"&amp;F650)+1)</f>
        <v/>
      </c>
      <c r="B650" s="9"/>
      <c r="C650" s="10"/>
      <c r="D650" s="11" t="str">
        <f aca="false">IF(C650="","",IFERROR(INDEX(Summary!$B$2:$B$14,MATCH(C650,Summary!$A$2:$A$14,0)),"?"))</f>
        <v/>
      </c>
      <c r="E650" s="11" t="str">
        <f aca="false">IF(C650="","",IFERROR(INDEX(Summary!$C$2:$C$14,MATCH(C650,Summary!$A$2:$A$14,0)),"?"))</f>
        <v/>
      </c>
      <c r="F650" s="12"/>
      <c r="H650" s="0" t="str">
        <f aca="false">IF(OR(B650="",F650=""),"",F650-ROW()/100000)</f>
        <v/>
      </c>
      <c r="I650" s="0" t="str">
        <f aca="false">IF(H650="","",C650&amp;"|"&amp;(COUNTIFS($C$2:$C$1000,C650,$H$2:$H$1000,"&gt;"&amp;H650)+1))</f>
        <v/>
      </c>
    </row>
    <row r="651" customFormat="false" ht="15" hidden="false" customHeight="false" outlineLevel="0" collapsed="false">
      <c r="A651" s="8" t="str">
        <f aca="false">IF(F651="","",COUNTIF($F$2:$F$1000,"&gt;"&amp;F651)+1)</f>
        <v/>
      </c>
      <c r="B651" s="9"/>
      <c r="C651" s="10"/>
      <c r="D651" s="11" t="str">
        <f aca="false">IF(C651="","",IFERROR(INDEX(Summary!$B$2:$B$14,MATCH(C651,Summary!$A$2:$A$14,0)),"?"))</f>
        <v/>
      </c>
      <c r="E651" s="11" t="str">
        <f aca="false">IF(C651="","",IFERROR(INDEX(Summary!$C$2:$C$14,MATCH(C651,Summary!$A$2:$A$14,0)),"?"))</f>
        <v/>
      </c>
      <c r="F651" s="12"/>
      <c r="H651" s="0" t="str">
        <f aca="false">IF(OR(B651="",F651=""),"",F651-ROW()/100000)</f>
        <v/>
      </c>
      <c r="I651" s="0" t="str">
        <f aca="false">IF(H651="","",C651&amp;"|"&amp;(COUNTIFS($C$2:$C$1000,C651,$H$2:$H$1000,"&gt;"&amp;H651)+1))</f>
        <v/>
      </c>
    </row>
    <row r="652" customFormat="false" ht="15" hidden="false" customHeight="false" outlineLevel="0" collapsed="false">
      <c r="A652" s="8" t="str">
        <f aca="false">IF(F652="","",COUNTIF($F$2:$F$1000,"&gt;"&amp;F652)+1)</f>
        <v/>
      </c>
      <c r="B652" s="9"/>
      <c r="C652" s="10"/>
      <c r="D652" s="11" t="str">
        <f aca="false">IF(C652="","",IFERROR(INDEX(Summary!$B$2:$B$14,MATCH(C652,Summary!$A$2:$A$14,0)),"?"))</f>
        <v/>
      </c>
      <c r="E652" s="11" t="str">
        <f aca="false">IF(C652="","",IFERROR(INDEX(Summary!$C$2:$C$14,MATCH(C652,Summary!$A$2:$A$14,0)),"?"))</f>
        <v/>
      </c>
      <c r="F652" s="12"/>
      <c r="H652" s="0" t="str">
        <f aca="false">IF(OR(B652="",F652=""),"",F652-ROW()/100000)</f>
        <v/>
      </c>
      <c r="I652" s="0" t="str">
        <f aca="false">IF(H652="","",C652&amp;"|"&amp;(COUNTIFS($C$2:$C$1000,C652,$H$2:$H$1000,"&gt;"&amp;H652)+1))</f>
        <v/>
      </c>
    </row>
    <row r="653" customFormat="false" ht="15" hidden="false" customHeight="false" outlineLevel="0" collapsed="false">
      <c r="A653" s="8" t="str">
        <f aca="false">IF(F653="","",COUNTIF($F$2:$F$1000,"&gt;"&amp;F653)+1)</f>
        <v/>
      </c>
      <c r="B653" s="9"/>
      <c r="C653" s="10"/>
      <c r="D653" s="11" t="str">
        <f aca="false">IF(C653="","",IFERROR(INDEX(Summary!$B$2:$B$14,MATCH(C653,Summary!$A$2:$A$14,0)),"?"))</f>
        <v/>
      </c>
      <c r="E653" s="11" t="str">
        <f aca="false">IF(C653="","",IFERROR(INDEX(Summary!$C$2:$C$14,MATCH(C653,Summary!$A$2:$A$14,0)),"?"))</f>
        <v/>
      </c>
      <c r="F653" s="12"/>
      <c r="H653" s="0" t="str">
        <f aca="false">IF(OR(B653="",F653=""),"",F653-ROW()/100000)</f>
        <v/>
      </c>
      <c r="I653" s="0" t="str">
        <f aca="false">IF(H653="","",C653&amp;"|"&amp;(COUNTIFS($C$2:$C$1000,C653,$H$2:$H$1000,"&gt;"&amp;H653)+1))</f>
        <v/>
      </c>
    </row>
    <row r="654" customFormat="false" ht="15" hidden="false" customHeight="false" outlineLevel="0" collapsed="false">
      <c r="A654" s="8" t="str">
        <f aca="false">IF(F654="","",COUNTIF($F$2:$F$1000,"&gt;"&amp;F654)+1)</f>
        <v/>
      </c>
      <c r="B654" s="9"/>
      <c r="C654" s="10"/>
      <c r="D654" s="11" t="str">
        <f aca="false">IF(C654="","",IFERROR(INDEX(Summary!$B$2:$B$14,MATCH(C654,Summary!$A$2:$A$14,0)),"?"))</f>
        <v/>
      </c>
      <c r="E654" s="11" t="str">
        <f aca="false">IF(C654="","",IFERROR(INDEX(Summary!$C$2:$C$14,MATCH(C654,Summary!$A$2:$A$14,0)),"?"))</f>
        <v/>
      </c>
      <c r="F654" s="12"/>
      <c r="H654" s="0" t="str">
        <f aca="false">IF(OR(B654="",F654=""),"",F654-ROW()/100000)</f>
        <v/>
      </c>
      <c r="I654" s="0" t="str">
        <f aca="false">IF(H654="","",C654&amp;"|"&amp;(COUNTIFS($C$2:$C$1000,C654,$H$2:$H$1000,"&gt;"&amp;H654)+1))</f>
        <v/>
      </c>
    </row>
    <row r="655" customFormat="false" ht="15" hidden="false" customHeight="false" outlineLevel="0" collapsed="false">
      <c r="A655" s="8" t="str">
        <f aca="false">IF(F655="","",COUNTIF($F$2:$F$1000,"&gt;"&amp;F655)+1)</f>
        <v/>
      </c>
      <c r="B655" s="9"/>
      <c r="C655" s="10"/>
      <c r="D655" s="11" t="str">
        <f aca="false">IF(C655="","",IFERROR(INDEX(Summary!$B$2:$B$14,MATCH(C655,Summary!$A$2:$A$14,0)),"?"))</f>
        <v/>
      </c>
      <c r="E655" s="11" t="str">
        <f aca="false">IF(C655="","",IFERROR(INDEX(Summary!$C$2:$C$14,MATCH(C655,Summary!$A$2:$A$14,0)),"?"))</f>
        <v/>
      </c>
      <c r="F655" s="12"/>
      <c r="H655" s="0" t="str">
        <f aca="false">IF(OR(B655="",F655=""),"",F655-ROW()/100000)</f>
        <v/>
      </c>
      <c r="I655" s="0" t="str">
        <f aca="false">IF(H655="","",C655&amp;"|"&amp;(COUNTIFS($C$2:$C$1000,C655,$H$2:$H$1000,"&gt;"&amp;H655)+1))</f>
        <v/>
      </c>
    </row>
    <row r="656" customFormat="false" ht="15" hidden="false" customHeight="false" outlineLevel="0" collapsed="false">
      <c r="A656" s="8" t="str">
        <f aca="false">IF(F656="","",COUNTIF($F$2:$F$1000,"&gt;"&amp;F656)+1)</f>
        <v/>
      </c>
      <c r="B656" s="9"/>
      <c r="C656" s="10"/>
      <c r="D656" s="11" t="str">
        <f aca="false">IF(C656="","",IFERROR(INDEX(Summary!$B$2:$B$14,MATCH(C656,Summary!$A$2:$A$14,0)),"?"))</f>
        <v/>
      </c>
      <c r="E656" s="11" t="str">
        <f aca="false">IF(C656="","",IFERROR(INDEX(Summary!$C$2:$C$14,MATCH(C656,Summary!$A$2:$A$14,0)),"?"))</f>
        <v/>
      </c>
      <c r="F656" s="12"/>
      <c r="H656" s="0" t="str">
        <f aca="false">IF(OR(B656="",F656=""),"",F656-ROW()/100000)</f>
        <v/>
      </c>
      <c r="I656" s="0" t="str">
        <f aca="false">IF(H656="","",C656&amp;"|"&amp;(COUNTIFS($C$2:$C$1000,C656,$H$2:$H$1000,"&gt;"&amp;H656)+1))</f>
        <v/>
      </c>
    </row>
    <row r="657" customFormat="false" ht="15" hidden="false" customHeight="false" outlineLevel="0" collapsed="false">
      <c r="A657" s="8" t="str">
        <f aca="false">IF(F657="","",COUNTIF($F$2:$F$1000,"&gt;"&amp;F657)+1)</f>
        <v/>
      </c>
      <c r="B657" s="9"/>
      <c r="C657" s="10"/>
      <c r="D657" s="11" t="str">
        <f aca="false">IF(C657="","",IFERROR(INDEX(Summary!$B$2:$B$14,MATCH(C657,Summary!$A$2:$A$14,0)),"?"))</f>
        <v/>
      </c>
      <c r="E657" s="11" t="str">
        <f aca="false">IF(C657="","",IFERROR(INDEX(Summary!$C$2:$C$14,MATCH(C657,Summary!$A$2:$A$14,0)),"?"))</f>
        <v/>
      </c>
      <c r="F657" s="12"/>
      <c r="H657" s="0" t="str">
        <f aca="false">IF(OR(B657="",F657=""),"",F657-ROW()/100000)</f>
        <v/>
      </c>
      <c r="I657" s="0" t="str">
        <f aca="false">IF(H657="","",C657&amp;"|"&amp;(COUNTIFS($C$2:$C$1000,C657,$H$2:$H$1000,"&gt;"&amp;H657)+1))</f>
        <v/>
      </c>
    </row>
    <row r="658" customFormat="false" ht="15" hidden="false" customHeight="false" outlineLevel="0" collapsed="false">
      <c r="A658" s="8" t="str">
        <f aca="false">IF(F658="","",COUNTIF($F$2:$F$1000,"&gt;"&amp;F658)+1)</f>
        <v/>
      </c>
      <c r="B658" s="9"/>
      <c r="C658" s="10"/>
      <c r="D658" s="11" t="str">
        <f aca="false">IF(C658="","",IFERROR(INDEX(Summary!$B$2:$B$14,MATCH(C658,Summary!$A$2:$A$14,0)),"?"))</f>
        <v/>
      </c>
      <c r="E658" s="11" t="str">
        <f aca="false">IF(C658="","",IFERROR(INDEX(Summary!$C$2:$C$14,MATCH(C658,Summary!$A$2:$A$14,0)),"?"))</f>
        <v/>
      </c>
      <c r="F658" s="12"/>
      <c r="H658" s="0" t="str">
        <f aca="false">IF(OR(B658="",F658=""),"",F658-ROW()/100000)</f>
        <v/>
      </c>
      <c r="I658" s="0" t="str">
        <f aca="false">IF(H658="","",C658&amp;"|"&amp;(COUNTIFS($C$2:$C$1000,C658,$H$2:$H$1000,"&gt;"&amp;H658)+1))</f>
        <v/>
      </c>
    </row>
    <row r="659" customFormat="false" ht="15" hidden="false" customHeight="false" outlineLevel="0" collapsed="false">
      <c r="A659" s="8" t="str">
        <f aca="false">IF(F659="","",COUNTIF($F$2:$F$1000,"&gt;"&amp;F659)+1)</f>
        <v/>
      </c>
      <c r="B659" s="9"/>
      <c r="C659" s="10"/>
      <c r="D659" s="11" t="str">
        <f aca="false">IF(C659="","",IFERROR(INDEX(Summary!$B$2:$B$14,MATCH(C659,Summary!$A$2:$A$14,0)),"?"))</f>
        <v/>
      </c>
      <c r="E659" s="11" t="str">
        <f aca="false">IF(C659="","",IFERROR(INDEX(Summary!$C$2:$C$14,MATCH(C659,Summary!$A$2:$A$14,0)),"?"))</f>
        <v/>
      </c>
      <c r="F659" s="12"/>
      <c r="H659" s="0" t="str">
        <f aca="false">IF(OR(B659="",F659=""),"",F659-ROW()/100000)</f>
        <v/>
      </c>
      <c r="I659" s="0" t="str">
        <f aca="false">IF(H659="","",C659&amp;"|"&amp;(COUNTIFS($C$2:$C$1000,C659,$H$2:$H$1000,"&gt;"&amp;H659)+1))</f>
        <v/>
      </c>
    </row>
    <row r="660" customFormat="false" ht="15" hidden="false" customHeight="false" outlineLevel="0" collapsed="false">
      <c r="A660" s="8" t="str">
        <f aca="false">IF(F660="","",COUNTIF($F$2:$F$1000,"&gt;"&amp;F660)+1)</f>
        <v/>
      </c>
      <c r="B660" s="9"/>
      <c r="C660" s="10"/>
      <c r="D660" s="11" t="str">
        <f aca="false">IF(C660="","",IFERROR(INDEX(Summary!$B$2:$B$14,MATCH(C660,Summary!$A$2:$A$14,0)),"?"))</f>
        <v/>
      </c>
      <c r="E660" s="11" t="str">
        <f aca="false">IF(C660="","",IFERROR(INDEX(Summary!$C$2:$C$14,MATCH(C660,Summary!$A$2:$A$14,0)),"?"))</f>
        <v/>
      </c>
      <c r="F660" s="12"/>
      <c r="H660" s="0" t="str">
        <f aca="false">IF(OR(B660="",F660=""),"",F660-ROW()/100000)</f>
        <v/>
      </c>
      <c r="I660" s="0" t="str">
        <f aca="false">IF(H660="","",C660&amp;"|"&amp;(COUNTIFS($C$2:$C$1000,C660,$H$2:$H$1000,"&gt;"&amp;H660)+1))</f>
        <v/>
      </c>
    </row>
    <row r="661" customFormat="false" ht="15" hidden="false" customHeight="false" outlineLevel="0" collapsed="false">
      <c r="A661" s="8" t="str">
        <f aca="false">IF(F661="","",COUNTIF($F$2:$F$1000,"&gt;"&amp;F661)+1)</f>
        <v/>
      </c>
      <c r="B661" s="9"/>
      <c r="C661" s="10"/>
      <c r="D661" s="11" t="str">
        <f aca="false">IF(C661="","",IFERROR(INDEX(Summary!$B$2:$B$14,MATCH(C661,Summary!$A$2:$A$14,0)),"?"))</f>
        <v/>
      </c>
      <c r="E661" s="11" t="str">
        <f aca="false">IF(C661="","",IFERROR(INDEX(Summary!$C$2:$C$14,MATCH(C661,Summary!$A$2:$A$14,0)),"?"))</f>
        <v/>
      </c>
      <c r="F661" s="12"/>
      <c r="H661" s="0" t="str">
        <f aca="false">IF(OR(B661="",F661=""),"",F661-ROW()/100000)</f>
        <v/>
      </c>
      <c r="I661" s="0" t="str">
        <f aca="false">IF(H661="","",C661&amp;"|"&amp;(COUNTIFS($C$2:$C$1000,C661,$H$2:$H$1000,"&gt;"&amp;H661)+1))</f>
        <v/>
      </c>
    </row>
    <row r="662" customFormat="false" ht="15" hidden="false" customHeight="false" outlineLevel="0" collapsed="false">
      <c r="A662" s="8" t="str">
        <f aca="false">IF(F662="","",COUNTIF($F$2:$F$1000,"&gt;"&amp;F662)+1)</f>
        <v/>
      </c>
      <c r="B662" s="9"/>
      <c r="C662" s="10"/>
      <c r="D662" s="11" t="str">
        <f aca="false">IF(C662="","",IFERROR(INDEX(Summary!$B$2:$B$14,MATCH(C662,Summary!$A$2:$A$14,0)),"?"))</f>
        <v/>
      </c>
      <c r="E662" s="11" t="str">
        <f aca="false">IF(C662="","",IFERROR(INDEX(Summary!$C$2:$C$14,MATCH(C662,Summary!$A$2:$A$14,0)),"?"))</f>
        <v/>
      </c>
      <c r="F662" s="12"/>
      <c r="H662" s="0" t="str">
        <f aca="false">IF(OR(B662="",F662=""),"",F662-ROW()/100000)</f>
        <v/>
      </c>
      <c r="I662" s="0" t="str">
        <f aca="false">IF(H662="","",C662&amp;"|"&amp;(COUNTIFS($C$2:$C$1000,C662,$H$2:$H$1000,"&gt;"&amp;H662)+1))</f>
        <v/>
      </c>
    </row>
    <row r="663" customFormat="false" ht="15" hidden="false" customHeight="false" outlineLevel="0" collapsed="false">
      <c r="A663" s="8" t="str">
        <f aca="false">IF(F663="","",COUNTIF($F$2:$F$1000,"&gt;"&amp;F663)+1)</f>
        <v/>
      </c>
      <c r="B663" s="9"/>
      <c r="C663" s="10"/>
      <c r="D663" s="11" t="str">
        <f aca="false">IF(C663="","",IFERROR(INDEX(Summary!$B$2:$B$14,MATCH(C663,Summary!$A$2:$A$14,0)),"?"))</f>
        <v/>
      </c>
      <c r="E663" s="11" t="str">
        <f aca="false">IF(C663="","",IFERROR(INDEX(Summary!$C$2:$C$14,MATCH(C663,Summary!$A$2:$A$14,0)),"?"))</f>
        <v/>
      </c>
      <c r="F663" s="12"/>
      <c r="H663" s="0" t="str">
        <f aca="false">IF(OR(B663="",F663=""),"",F663-ROW()/100000)</f>
        <v/>
      </c>
      <c r="I663" s="0" t="str">
        <f aca="false">IF(H663="","",C663&amp;"|"&amp;(COUNTIFS($C$2:$C$1000,C663,$H$2:$H$1000,"&gt;"&amp;H663)+1))</f>
        <v/>
      </c>
    </row>
    <row r="664" customFormat="false" ht="15" hidden="false" customHeight="false" outlineLevel="0" collapsed="false">
      <c r="A664" s="8" t="str">
        <f aca="false">IF(F664="","",COUNTIF($F$2:$F$1000,"&gt;"&amp;F664)+1)</f>
        <v/>
      </c>
      <c r="B664" s="9"/>
      <c r="C664" s="10"/>
      <c r="D664" s="11" t="str">
        <f aca="false">IF(C664="","",IFERROR(INDEX(Summary!$B$2:$B$14,MATCH(C664,Summary!$A$2:$A$14,0)),"?"))</f>
        <v/>
      </c>
      <c r="E664" s="11" t="str">
        <f aca="false">IF(C664="","",IFERROR(INDEX(Summary!$C$2:$C$14,MATCH(C664,Summary!$A$2:$A$14,0)),"?"))</f>
        <v/>
      </c>
      <c r="F664" s="12"/>
      <c r="H664" s="0" t="str">
        <f aca="false">IF(OR(B664="",F664=""),"",F664-ROW()/100000)</f>
        <v/>
      </c>
      <c r="I664" s="0" t="str">
        <f aca="false">IF(H664="","",C664&amp;"|"&amp;(COUNTIFS($C$2:$C$1000,C664,$H$2:$H$1000,"&gt;"&amp;H664)+1))</f>
        <v/>
      </c>
    </row>
    <row r="665" customFormat="false" ht="15" hidden="false" customHeight="false" outlineLevel="0" collapsed="false">
      <c r="A665" s="8" t="str">
        <f aca="false">IF(F665="","",COUNTIF($F$2:$F$1000,"&gt;"&amp;F665)+1)</f>
        <v/>
      </c>
      <c r="B665" s="9"/>
      <c r="C665" s="10"/>
      <c r="D665" s="11" t="str">
        <f aca="false">IF(C665="","",IFERROR(INDEX(Summary!$B$2:$B$14,MATCH(C665,Summary!$A$2:$A$14,0)),"?"))</f>
        <v/>
      </c>
      <c r="E665" s="11" t="str">
        <f aca="false">IF(C665="","",IFERROR(INDEX(Summary!$C$2:$C$14,MATCH(C665,Summary!$A$2:$A$14,0)),"?"))</f>
        <v/>
      </c>
      <c r="F665" s="12"/>
      <c r="H665" s="0" t="str">
        <f aca="false">IF(OR(B665="",F665=""),"",F665-ROW()/100000)</f>
        <v/>
      </c>
      <c r="I665" s="0" t="str">
        <f aca="false">IF(H665="","",C665&amp;"|"&amp;(COUNTIFS($C$2:$C$1000,C665,$H$2:$H$1000,"&gt;"&amp;H665)+1))</f>
        <v/>
      </c>
    </row>
    <row r="666" customFormat="false" ht="15" hidden="false" customHeight="false" outlineLevel="0" collapsed="false">
      <c r="A666" s="8" t="str">
        <f aca="false">IF(F666="","",COUNTIF($F$2:$F$1000,"&gt;"&amp;F666)+1)</f>
        <v/>
      </c>
      <c r="B666" s="9"/>
      <c r="C666" s="10"/>
      <c r="D666" s="11" t="str">
        <f aca="false">IF(C666="","",IFERROR(INDEX(Summary!$B$2:$B$14,MATCH(C666,Summary!$A$2:$A$14,0)),"?"))</f>
        <v/>
      </c>
      <c r="E666" s="11" t="str">
        <f aca="false">IF(C666="","",IFERROR(INDEX(Summary!$C$2:$C$14,MATCH(C666,Summary!$A$2:$A$14,0)),"?"))</f>
        <v/>
      </c>
      <c r="F666" s="12"/>
      <c r="H666" s="0" t="str">
        <f aca="false">IF(OR(B666="",F666=""),"",F666-ROW()/100000)</f>
        <v/>
      </c>
      <c r="I666" s="0" t="str">
        <f aca="false">IF(H666="","",C666&amp;"|"&amp;(COUNTIFS($C$2:$C$1000,C666,$H$2:$H$1000,"&gt;"&amp;H666)+1))</f>
        <v/>
      </c>
    </row>
    <row r="667" customFormat="false" ht="15" hidden="false" customHeight="false" outlineLevel="0" collapsed="false">
      <c r="A667" s="8" t="str">
        <f aca="false">IF(F667="","",COUNTIF($F$2:$F$1000,"&gt;"&amp;F667)+1)</f>
        <v/>
      </c>
      <c r="B667" s="9"/>
      <c r="C667" s="10"/>
      <c r="D667" s="11" t="str">
        <f aca="false">IF(C667="","",IFERROR(INDEX(Summary!$B$2:$B$14,MATCH(C667,Summary!$A$2:$A$14,0)),"?"))</f>
        <v/>
      </c>
      <c r="E667" s="11" t="str">
        <f aca="false">IF(C667="","",IFERROR(INDEX(Summary!$C$2:$C$14,MATCH(C667,Summary!$A$2:$A$14,0)),"?"))</f>
        <v/>
      </c>
      <c r="F667" s="12"/>
      <c r="H667" s="0" t="str">
        <f aca="false">IF(OR(B667="",F667=""),"",F667-ROW()/100000)</f>
        <v/>
      </c>
      <c r="I667" s="0" t="str">
        <f aca="false">IF(H667="","",C667&amp;"|"&amp;(COUNTIFS($C$2:$C$1000,C667,$H$2:$H$1000,"&gt;"&amp;H667)+1))</f>
        <v/>
      </c>
    </row>
    <row r="668" customFormat="false" ht="15" hidden="false" customHeight="false" outlineLevel="0" collapsed="false">
      <c r="A668" s="8" t="str">
        <f aca="false">IF(F668="","",COUNTIF($F$2:$F$1000,"&gt;"&amp;F668)+1)</f>
        <v/>
      </c>
      <c r="B668" s="9"/>
      <c r="C668" s="10"/>
      <c r="D668" s="11" t="str">
        <f aca="false">IF(C668="","",IFERROR(INDEX(Summary!$B$2:$B$14,MATCH(C668,Summary!$A$2:$A$14,0)),"?"))</f>
        <v/>
      </c>
      <c r="E668" s="11" t="str">
        <f aca="false">IF(C668="","",IFERROR(INDEX(Summary!$C$2:$C$14,MATCH(C668,Summary!$A$2:$A$14,0)),"?"))</f>
        <v/>
      </c>
      <c r="F668" s="12"/>
      <c r="H668" s="0" t="str">
        <f aca="false">IF(OR(B668="",F668=""),"",F668-ROW()/100000)</f>
        <v/>
      </c>
      <c r="I668" s="0" t="str">
        <f aca="false">IF(H668="","",C668&amp;"|"&amp;(COUNTIFS($C$2:$C$1000,C668,$H$2:$H$1000,"&gt;"&amp;H668)+1))</f>
        <v/>
      </c>
    </row>
    <row r="669" customFormat="false" ht="15" hidden="false" customHeight="false" outlineLevel="0" collapsed="false">
      <c r="A669" s="8" t="str">
        <f aca="false">IF(F669="","",COUNTIF($F$2:$F$1000,"&gt;"&amp;F669)+1)</f>
        <v/>
      </c>
      <c r="B669" s="9"/>
      <c r="C669" s="10"/>
      <c r="D669" s="11" t="str">
        <f aca="false">IF(C669="","",IFERROR(INDEX(Summary!$B$2:$B$14,MATCH(C669,Summary!$A$2:$A$14,0)),"?"))</f>
        <v/>
      </c>
      <c r="E669" s="11" t="str">
        <f aca="false">IF(C669="","",IFERROR(INDEX(Summary!$C$2:$C$14,MATCH(C669,Summary!$A$2:$A$14,0)),"?"))</f>
        <v/>
      </c>
      <c r="F669" s="12"/>
      <c r="H669" s="0" t="str">
        <f aca="false">IF(OR(B669="",F669=""),"",F669-ROW()/100000)</f>
        <v/>
      </c>
      <c r="I669" s="0" t="str">
        <f aca="false">IF(H669="","",C669&amp;"|"&amp;(COUNTIFS($C$2:$C$1000,C669,$H$2:$H$1000,"&gt;"&amp;H669)+1))</f>
        <v/>
      </c>
    </row>
    <row r="670" customFormat="false" ht="15" hidden="false" customHeight="false" outlineLevel="0" collapsed="false">
      <c r="A670" s="8" t="str">
        <f aca="false">IF(F670="","",COUNTIF($F$2:$F$1000,"&gt;"&amp;F670)+1)</f>
        <v/>
      </c>
      <c r="B670" s="9"/>
      <c r="C670" s="10"/>
      <c r="D670" s="11" t="str">
        <f aca="false">IF(C670="","",IFERROR(INDEX(Summary!$B$2:$B$14,MATCH(C670,Summary!$A$2:$A$14,0)),"?"))</f>
        <v/>
      </c>
      <c r="E670" s="11" t="str">
        <f aca="false">IF(C670="","",IFERROR(INDEX(Summary!$C$2:$C$14,MATCH(C670,Summary!$A$2:$A$14,0)),"?"))</f>
        <v/>
      </c>
      <c r="F670" s="12"/>
      <c r="H670" s="0" t="str">
        <f aca="false">IF(OR(B670="",F670=""),"",F670-ROW()/100000)</f>
        <v/>
      </c>
      <c r="I670" s="0" t="str">
        <f aca="false">IF(H670="","",C670&amp;"|"&amp;(COUNTIFS($C$2:$C$1000,C670,$H$2:$H$1000,"&gt;"&amp;H670)+1))</f>
        <v/>
      </c>
    </row>
    <row r="671" customFormat="false" ht="15" hidden="false" customHeight="false" outlineLevel="0" collapsed="false">
      <c r="A671" s="8" t="str">
        <f aca="false">IF(F671="","",COUNTIF($F$2:$F$1000,"&gt;"&amp;F671)+1)</f>
        <v/>
      </c>
      <c r="B671" s="9"/>
      <c r="C671" s="10"/>
      <c r="D671" s="11" t="str">
        <f aca="false">IF(C671="","",IFERROR(INDEX(Summary!$B$2:$B$14,MATCH(C671,Summary!$A$2:$A$14,0)),"?"))</f>
        <v/>
      </c>
      <c r="E671" s="11" t="str">
        <f aca="false">IF(C671="","",IFERROR(INDEX(Summary!$C$2:$C$14,MATCH(C671,Summary!$A$2:$A$14,0)),"?"))</f>
        <v/>
      </c>
      <c r="F671" s="12"/>
      <c r="H671" s="0" t="str">
        <f aca="false">IF(OR(B671="",F671=""),"",F671-ROW()/100000)</f>
        <v/>
      </c>
      <c r="I671" s="0" t="str">
        <f aca="false">IF(H671="","",C671&amp;"|"&amp;(COUNTIFS($C$2:$C$1000,C671,$H$2:$H$1000,"&gt;"&amp;H671)+1))</f>
        <v/>
      </c>
    </row>
    <row r="672" customFormat="false" ht="15" hidden="false" customHeight="false" outlineLevel="0" collapsed="false">
      <c r="A672" s="8" t="str">
        <f aca="false">IF(F672="","",COUNTIF($F$2:$F$1000,"&gt;"&amp;F672)+1)</f>
        <v/>
      </c>
      <c r="B672" s="9"/>
      <c r="C672" s="10"/>
      <c r="D672" s="11" t="str">
        <f aca="false">IF(C672="","",IFERROR(INDEX(Summary!$B$2:$B$14,MATCH(C672,Summary!$A$2:$A$14,0)),"?"))</f>
        <v/>
      </c>
      <c r="E672" s="11" t="str">
        <f aca="false">IF(C672="","",IFERROR(INDEX(Summary!$C$2:$C$14,MATCH(C672,Summary!$A$2:$A$14,0)),"?"))</f>
        <v/>
      </c>
      <c r="F672" s="12"/>
      <c r="H672" s="0" t="str">
        <f aca="false">IF(OR(B672="",F672=""),"",F672-ROW()/100000)</f>
        <v/>
      </c>
      <c r="I672" s="0" t="str">
        <f aca="false">IF(H672="","",C672&amp;"|"&amp;(COUNTIFS($C$2:$C$1000,C672,$H$2:$H$1000,"&gt;"&amp;H672)+1))</f>
        <v/>
      </c>
    </row>
    <row r="673" customFormat="false" ht="15" hidden="false" customHeight="false" outlineLevel="0" collapsed="false">
      <c r="A673" s="8" t="str">
        <f aca="false">IF(F673="","",COUNTIF($F$2:$F$1000,"&gt;"&amp;F673)+1)</f>
        <v/>
      </c>
      <c r="B673" s="9"/>
      <c r="C673" s="10"/>
      <c r="D673" s="11" t="str">
        <f aca="false">IF(C673="","",IFERROR(INDEX(Summary!$B$2:$B$14,MATCH(C673,Summary!$A$2:$A$14,0)),"?"))</f>
        <v/>
      </c>
      <c r="E673" s="11" t="str">
        <f aca="false">IF(C673="","",IFERROR(INDEX(Summary!$C$2:$C$14,MATCH(C673,Summary!$A$2:$A$14,0)),"?"))</f>
        <v/>
      </c>
      <c r="F673" s="12"/>
      <c r="H673" s="0" t="str">
        <f aca="false">IF(OR(B673="",F673=""),"",F673-ROW()/100000)</f>
        <v/>
      </c>
      <c r="I673" s="0" t="str">
        <f aca="false">IF(H673="","",C673&amp;"|"&amp;(COUNTIFS($C$2:$C$1000,C673,$H$2:$H$1000,"&gt;"&amp;H673)+1))</f>
        <v/>
      </c>
    </row>
    <row r="674" customFormat="false" ht="15" hidden="false" customHeight="false" outlineLevel="0" collapsed="false">
      <c r="A674" s="8" t="str">
        <f aca="false">IF(F674="","",COUNTIF($F$2:$F$1000,"&gt;"&amp;F674)+1)</f>
        <v/>
      </c>
      <c r="B674" s="9"/>
      <c r="C674" s="10"/>
      <c r="D674" s="11" t="str">
        <f aca="false">IF(C674="","",IFERROR(INDEX(Summary!$B$2:$B$14,MATCH(C674,Summary!$A$2:$A$14,0)),"?"))</f>
        <v/>
      </c>
      <c r="E674" s="11" t="str">
        <f aca="false">IF(C674="","",IFERROR(INDEX(Summary!$C$2:$C$14,MATCH(C674,Summary!$A$2:$A$14,0)),"?"))</f>
        <v/>
      </c>
      <c r="F674" s="12"/>
      <c r="H674" s="0" t="str">
        <f aca="false">IF(OR(B674="",F674=""),"",F674-ROW()/100000)</f>
        <v/>
      </c>
      <c r="I674" s="0" t="str">
        <f aca="false">IF(H674="","",C674&amp;"|"&amp;(COUNTIFS($C$2:$C$1000,C674,$H$2:$H$1000,"&gt;"&amp;H674)+1))</f>
        <v/>
      </c>
    </row>
    <row r="675" customFormat="false" ht="15" hidden="false" customHeight="false" outlineLevel="0" collapsed="false">
      <c r="A675" s="8" t="str">
        <f aca="false">IF(F675="","",COUNTIF($F$2:$F$1000,"&gt;"&amp;F675)+1)</f>
        <v/>
      </c>
      <c r="B675" s="9"/>
      <c r="C675" s="10"/>
      <c r="D675" s="11" t="str">
        <f aca="false">IF(C675="","",IFERROR(INDEX(Summary!$B$2:$B$14,MATCH(C675,Summary!$A$2:$A$14,0)),"?"))</f>
        <v/>
      </c>
      <c r="E675" s="11" t="str">
        <f aca="false">IF(C675="","",IFERROR(INDEX(Summary!$C$2:$C$14,MATCH(C675,Summary!$A$2:$A$14,0)),"?"))</f>
        <v/>
      </c>
      <c r="F675" s="12"/>
      <c r="H675" s="0" t="str">
        <f aca="false">IF(OR(B675="",F675=""),"",F675-ROW()/100000)</f>
        <v/>
      </c>
      <c r="I675" s="0" t="str">
        <f aca="false">IF(H675="","",C675&amp;"|"&amp;(COUNTIFS($C$2:$C$1000,C675,$H$2:$H$1000,"&gt;"&amp;H675)+1))</f>
        <v/>
      </c>
    </row>
    <row r="676" customFormat="false" ht="15" hidden="false" customHeight="false" outlineLevel="0" collapsed="false">
      <c r="A676" s="8" t="str">
        <f aca="false">IF(F676="","",COUNTIF($F$2:$F$1000,"&gt;"&amp;F676)+1)</f>
        <v/>
      </c>
      <c r="B676" s="9"/>
      <c r="C676" s="10"/>
      <c r="D676" s="11" t="str">
        <f aca="false">IF(C676="","",IFERROR(INDEX(Summary!$B$2:$B$14,MATCH(C676,Summary!$A$2:$A$14,0)),"?"))</f>
        <v/>
      </c>
      <c r="E676" s="11" t="str">
        <f aca="false">IF(C676="","",IFERROR(INDEX(Summary!$C$2:$C$14,MATCH(C676,Summary!$A$2:$A$14,0)),"?"))</f>
        <v/>
      </c>
      <c r="F676" s="12"/>
      <c r="H676" s="0" t="str">
        <f aca="false">IF(OR(B676="",F676=""),"",F676-ROW()/100000)</f>
        <v/>
      </c>
      <c r="I676" s="0" t="str">
        <f aca="false">IF(H676="","",C676&amp;"|"&amp;(COUNTIFS($C$2:$C$1000,C676,$H$2:$H$1000,"&gt;"&amp;H676)+1))</f>
        <v/>
      </c>
    </row>
    <row r="677" customFormat="false" ht="15" hidden="false" customHeight="false" outlineLevel="0" collapsed="false">
      <c r="A677" s="8" t="str">
        <f aca="false">IF(F677="","",COUNTIF($F$2:$F$1000,"&gt;"&amp;F677)+1)</f>
        <v/>
      </c>
      <c r="B677" s="9"/>
      <c r="C677" s="10"/>
      <c r="D677" s="11" t="str">
        <f aca="false">IF(C677="","",IFERROR(INDEX(Summary!$B$2:$B$14,MATCH(C677,Summary!$A$2:$A$14,0)),"?"))</f>
        <v/>
      </c>
      <c r="E677" s="11" t="str">
        <f aca="false">IF(C677="","",IFERROR(INDEX(Summary!$C$2:$C$14,MATCH(C677,Summary!$A$2:$A$14,0)),"?"))</f>
        <v/>
      </c>
      <c r="F677" s="12"/>
      <c r="H677" s="0" t="str">
        <f aca="false">IF(OR(B677="",F677=""),"",F677-ROW()/100000)</f>
        <v/>
      </c>
      <c r="I677" s="0" t="str">
        <f aca="false">IF(H677="","",C677&amp;"|"&amp;(COUNTIFS($C$2:$C$1000,C677,$H$2:$H$1000,"&gt;"&amp;H677)+1))</f>
        <v/>
      </c>
    </row>
    <row r="678" customFormat="false" ht="15" hidden="false" customHeight="false" outlineLevel="0" collapsed="false">
      <c r="A678" s="8" t="str">
        <f aca="false">IF(F678="","",COUNTIF($F$2:$F$1000,"&gt;"&amp;F678)+1)</f>
        <v/>
      </c>
      <c r="B678" s="9"/>
      <c r="C678" s="10"/>
      <c r="D678" s="11" t="str">
        <f aca="false">IF(C678="","",IFERROR(INDEX(Summary!$B$2:$B$14,MATCH(C678,Summary!$A$2:$A$14,0)),"?"))</f>
        <v/>
      </c>
      <c r="E678" s="11" t="str">
        <f aca="false">IF(C678="","",IFERROR(INDEX(Summary!$C$2:$C$14,MATCH(C678,Summary!$A$2:$A$14,0)),"?"))</f>
        <v/>
      </c>
      <c r="F678" s="12"/>
      <c r="H678" s="0" t="str">
        <f aca="false">IF(OR(B678="",F678=""),"",F678-ROW()/100000)</f>
        <v/>
      </c>
      <c r="I678" s="0" t="str">
        <f aca="false">IF(H678="","",C678&amp;"|"&amp;(COUNTIFS($C$2:$C$1000,C678,$H$2:$H$1000,"&gt;"&amp;H678)+1))</f>
        <v/>
      </c>
    </row>
    <row r="679" customFormat="false" ht="15" hidden="false" customHeight="false" outlineLevel="0" collapsed="false">
      <c r="A679" s="8" t="str">
        <f aca="false">IF(F679="","",COUNTIF($F$2:$F$1000,"&gt;"&amp;F679)+1)</f>
        <v/>
      </c>
      <c r="B679" s="9"/>
      <c r="C679" s="10"/>
      <c r="D679" s="11" t="str">
        <f aca="false">IF(C679="","",IFERROR(INDEX(Summary!$B$2:$B$14,MATCH(C679,Summary!$A$2:$A$14,0)),"?"))</f>
        <v/>
      </c>
      <c r="E679" s="11" t="str">
        <f aca="false">IF(C679="","",IFERROR(INDEX(Summary!$C$2:$C$14,MATCH(C679,Summary!$A$2:$A$14,0)),"?"))</f>
        <v/>
      </c>
      <c r="F679" s="12"/>
      <c r="H679" s="0" t="str">
        <f aca="false">IF(OR(B679="",F679=""),"",F679-ROW()/100000)</f>
        <v/>
      </c>
      <c r="I679" s="0" t="str">
        <f aca="false">IF(H679="","",C679&amp;"|"&amp;(COUNTIFS($C$2:$C$1000,C679,$H$2:$H$1000,"&gt;"&amp;H679)+1))</f>
        <v/>
      </c>
    </row>
    <row r="680" customFormat="false" ht="15" hidden="false" customHeight="false" outlineLevel="0" collapsed="false">
      <c r="A680" s="8" t="str">
        <f aca="false">IF(F680="","",COUNTIF($F$2:$F$1000,"&gt;"&amp;F680)+1)</f>
        <v/>
      </c>
      <c r="B680" s="9"/>
      <c r="C680" s="10"/>
      <c r="D680" s="11" t="str">
        <f aca="false">IF(C680="","",IFERROR(INDEX(Summary!$B$2:$B$14,MATCH(C680,Summary!$A$2:$A$14,0)),"?"))</f>
        <v/>
      </c>
      <c r="E680" s="11" t="str">
        <f aca="false">IF(C680="","",IFERROR(INDEX(Summary!$C$2:$C$14,MATCH(C680,Summary!$A$2:$A$14,0)),"?"))</f>
        <v/>
      </c>
      <c r="F680" s="12"/>
      <c r="H680" s="0" t="str">
        <f aca="false">IF(OR(B680="",F680=""),"",F680-ROW()/100000)</f>
        <v/>
      </c>
      <c r="I680" s="0" t="str">
        <f aca="false">IF(H680="","",C680&amp;"|"&amp;(COUNTIFS($C$2:$C$1000,C680,$H$2:$H$1000,"&gt;"&amp;H680)+1))</f>
        <v/>
      </c>
    </row>
    <row r="681" customFormat="false" ht="15" hidden="false" customHeight="false" outlineLevel="0" collapsed="false">
      <c r="A681" s="8" t="str">
        <f aca="false">IF(F681="","",COUNTIF($F$2:$F$1000,"&gt;"&amp;F681)+1)</f>
        <v/>
      </c>
      <c r="B681" s="9"/>
      <c r="C681" s="10"/>
      <c r="D681" s="11" t="str">
        <f aca="false">IF(C681="","",IFERROR(INDEX(Summary!$B$2:$B$14,MATCH(C681,Summary!$A$2:$A$14,0)),"?"))</f>
        <v/>
      </c>
      <c r="E681" s="11" t="str">
        <f aca="false">IF(C681="","",IFERROR(INDEX(Summary!$C$2:$C$14,MATCH(C681,Summary!$A$2:$A$14,0)),"?"))</f>
        <v/>
      </c>
      <c r="F681" s="12"/>
      <c r="H681" s="0" t="str">
        <f aca="false">IF(OR(B681="",F681=""),"",F681-ROW()/100000)</f>
        <v/>
      </c>
      <c r="I681" s="0" t="str">
        <f aca="false">IF(H681="","",C681&amp;"|"&amp;(COUNTIFS($C$2:$C$1000,C681,$H$2:$H$1000,"&gt;"&amp;H681)+1))</f>
        <v/>
      </c>
    </row>
    <row r="682" customFormat="false" ht="15" hidden="false" customHeight="false" outlineLevel="0" collapsed="false">
      <c r="A682" s="8" t="str">
        <f aca="false">IF(F682="","",COUNTIF($F$2:$F$1000,"&gt;"&amp;F682)+1)</f>
        <v/>
      </c>
      <c r="B682" s="9"/>
      <c r="C682" s="10"/>
      <c r="D682" s="11" t="str">
        <f aca="false">IF(C682="","",IFERROR(INDEX(Summary!$B$2:$B$14,MATCH(C682,Summary!$A$2:$A$14,0)),"?"))</f>
        <v/>
      </c>
      <c r="E682" s="11" t="str">
        <f aca="false">IF(C682="","",IFERROR(INDEX(Summary!$C$2:$C$14,MATCH(C682,Summary!$A$2:$A$14,0)),"?"))</f>
        <v/>
      </c>
      <c r="F682" s="12"/>
      <c r="H682" s="0" t="str">
        <f aca="false">IF(OR(B682="",F682=""),"",F682-ROW()/100000)</f>
        <v/>
      </c>
      <c r="I682" s="0" t="str">
        <f aca="false">IF(H682="","",C682&amp;"|"&amp;(COUNTIFS($C$2:$C$1000,C682,$H$2:$H$1000,"&gt;"&amp;H682)+1))</f>
        <v/>
      </c>
    </row>
    <row r="683" customFormat="false" ht="15" hidden="false" customHeight="false" outlineLevel="0" collapsed="false">
      <c r="A683" s="8" t="str">
        <f aca="false">IF(F683="","",COUNTIF($F$2:$F$1000,"&gt;"&amp;F683)+1)</f>
        <v/>
      </c>
      <c r="B683" s="9"/>
      <c r="C683" s="10"/>
      <c r="D683" s="11" t="str">
        <f aca="false">IF(C683="","",IFERROR(INDEX(Summary!$B$2:$B$14,MATCH(C683,Summary!$A$2:$A$14,0)),"?"))</f>
        <v/>
      </c>
      <c r="E683" s="11" t="str">
        <f aca="false">IF(C683="","",IFERROR(INDEX(Summary!$C$2:$C$14,MATCH(C683,Summary!$A$2:$A$14,0)),"?"))</f>
        <v/>
      </c>
      <c r="F683" s="12"/>
      <c r="H683" s="0" t="str">
        <f aca="false">IF(OR(B683="",F683=""),"",F683-ROW()/100000)</f>
        <v/>
      </c>
      <c r="I683" s="0" t="str">
        <f aca="false">IF(H683="","",C683&amp;"|"&amp;(COUNTIFS($C$2:$C$1000,C683,$H$2:$H$1000,"&gt;"&amp;H683)+1))</f>
        <v/>
      </c>
    </row>
    <row r="684" customFormat="false" ht="15" hidden="false" customHeight="false" outlineLevel="0" collapsed="false">
      <c r="A684" s="8" t="str">
        <f aca="false">IF(F684="","",COUNTIF($F$2:$F$1000,"&gt;"&amp;F684)+1)</f>
        <v/>
      </c>
      <c r="B684" s="9"/>
      <c r="C684" s="10"/>
      <c r="D684" s="11" t="str">
        <f aca="false">IF(C684="","",IFERROR(INDEX(Summary!$B$2:$B$14,MATCH(C684,Summary!$A$2:$A$14,0)),"?"))</f>
        <v/>
      </c>
      <c r="E684" s="11" t="str">
        <f aca="false">IF(C684="","",IFERROR(INDEX(Summary!$C$2:$C$14,MATCH(C684,Summary!$A$2:$A$14,0)),"?"))</f>
        <v/>
      </c>
      <c r="F684" s="12"/>
      <c r="H684" s="0" t="str">
        <f aca="false">IF(OR(B684="",F684=""),"",F684-ROW()/100000)</f>
        <v/>
      </c>
      <c r="I684" s="0" t="str">
        <f aca="false">IF(H684="","",C684&amp;"|"&amp;(COUNTIFS($C$2:$C$1000,C684,$H$2:$H$1000,"&gt;"&amp;H684)+1))</f>
        <v/>
      </c>
    </row>
    <row r="685" customFormat="false" ht="15" hidden="false" customHeight="false" outlineLevel="0" collapsed="false">
      <c r="A685" s="8" t="str">
        <f aca="false">IF(F685="","",COUNTIF($F$2:$F$1000,"&gt;"&amp;F685)+1)</f>
        <v/>
      </c>
      <c r="B685" s="9"/>
      <c r="C685" s="10"/>
      <c r="D685" s="11" t="str">
        <f aca="false">IF(C685="","",IFERROR(INDEX(Summary!$B$2:$B$14,MATCH(C685,Summary!$A$2:$A$14,0)),"?"))</f>
        <v/>
      </c>
      <c r="E685" s="11" t="str">
        <f aca="false">IF(C685="","",IFERROR(INDEX(Summary!$C$2:$C$14,MATCH(C685,Summary!$A$2:$A$14,0)),"?"))</f>
        <v/>
      </c>
      <c r="F685" s="12"/>
      <c r="H685" s="0" t="str">
        <f aca="false">IF(OR(B685="",F685=""),"",F685-ROW()/100000)</f>
        <v/>
      </c>
      <c r="I685" s="0" t="str">
        <f aca="false">IF(H685="","",C685&amp;"|"&amp;(COUNTIFS($C$2:$C$1000,C685,$H$2:$H$1000,"&gt;"&amp;H685)+1))</f>
        <v/>
      </c>
    </row>
    <row r="686" customFormat="false" ht="15" hidden="false" customHeight="false" outlineLevel="0" collapsed="false">
      <c r="A686" s="8" t="str">
        <f aca="false">IF(F686="","",COUNTIF($F$2:$F$1000,"&gt;"&amp;F686)+1)</f>
        <v/>
      </c>
      <c r="B686" s="9"/>
      <c r="C686" s="10"/>
      <c r="D686" s="11" t="str">
        <f aca="false">IF(C686="","",IFERROR(INDEX(Summary!$B$2:$B$14,MATCH(C686,Summary!$A$2:$A$14,0)),"?"))</f>
        <v/>
      </c>
      <c r="E686" s="11" t="str">
        <f aca="false">IF(C686="","",IFERROR(INDEX(Summary!$C$2:$C$14,MATCH(C686,Summary!$A$2:$A$14,0)),"?"))</f>
        <v/>
      </c>
      <c r="F686" s="12"/>
      <c r="H686" s="0" t="str">
        <f aca="false">IF(OR(B686="",F686=""),"",F686-ROW()/100000)</f>
        <v/>
      </c>
      <c r="I686" s="0" t="str">
        <f aca="false">IF(H686="","",C686&amp;"|"&amp;(COUNTIFS($C$2:$C$1000,C686,$H$2:$H$1000,"&gt;"&amp;H686)+1))</f>
        <v/>
      </c>
    </row>
    <row r="687" customFormat="false" ht="15" hidden="false" customHeight="false" outlineLevel="0" collapsed="false">
      <c r="A687" s="8" t="str">
        <f aca="false">IF(F687="","",COUNTIF($F$2:$F$1000,"&gt;"&amp;F687)+1)</f>
        <v/>
      </c>
      <c r="B687" s="9"/>
      <c r="C687" s="10"/>
      <c r="D687" s="11" t="str">
        <f aca="false">IF(C687="","",IFERROR(INDEX(Summary!$B$2:$B$14,MATCH(C687,Summary!$A$2:$A$14,0)),"?"))</f>
        <v/>
      </c>
      <c r="E687" s="11" t="str">
        <f aca="false">IF(C687="","",IFERROR(INDEX(Summary!$C$2:$C$14,MATCH(C687,Summary!$A$2:$A$14,0)),"?"))</f>
        <v/>
      </c>
      <c r="F687" s="12"/>
      <c r="H687" s="0" t="str">
        <f aca="false">IF(OR(B687="",F687=""),"",F687-ROW()/100000)</f>
        <v/>
      </c>
      <c r="I687" s="0" t="str">
        <f aca="false">IF(H687="","",C687&amp;"|"&amp;(COUNTIFS($C$2:$C$1000,C687,$H$2:$H$1000,"&gt;"&amp;H687)+1))</f>
        <v/>
      </c>
    </row>
    <row r="688" customFormat="false" ht="15" hidden="false" customHeight="false" outlineLevel="0" collapsed="false">
      <c r="A688" s="8" t="str">
        <f aca="false">IF(F688="","",COUNTIF($F$2:$F$1000,"&gt;"&amp;F688)+1)</f>
        <v/>
      </c>
      <c r="B688" s="9"/>
      <c r="C688" s="10"/>
      <c r="D688" s="11" t="str">
        <f aca="false">IF(C688="","",IFERROR(INDEX(Summary!$B$2:$B$14,MATCH(C688,Summary!$A$2:$A$14,0)),"?"))</f>
        <v/>
      </c>
      <c r="E688" s="11" t="str">
        <f aca="false">IF(C688="","",IFERROR(INDEX(Summary!$C$2:$C$14,MATCH(C688,Summary!$A$2:$A$14,0)),"?"))</f>
        <v/>
      </c>
      <c r="F688" s="12"/>
      <c r="H688" s="0" t="str">
        <f aca="false">IF(OR(B688="",F688=""),"",F688-ROW()/100000)</f>
        <v/>
      </c>
      <c r="I688" s="0" t="str">
        <f aca="false">IF(H688="","",C688&amp;"|"&amp;(COUNTIFS($C$2:$C$1000,C688,$H$2:$H$1000,"&gt;"&amp;H688)+1))</f>
        <v/>
      </c>
    </row>
    <row r="689" customFormat="false" ht="15" hidden="false" customHeight="false" outlineLevel="0" collapsed="false">
      <c r="A689" s="8" t="str">
        <f aca="false">IF(F689="","",COUNTIF($F$2:$F$1000,"&gt;"&amp;F689)+1)</f>
        <v/>
      </c>
      <c r="B689" s="9"/>
      <c r="C689" s="10"/>
      <c r="D689" s="11" t="str">
        <f aca="false">IF(C689="","",IFERROR(INDEX(Summary!$B$2:$B$14,MATCH(C689,Summary!$A$2:$A$14,0)),"?"))</f>
        <v/>
      </c>
      <c r="E689" s="11" t="str">
        <f aca="false">IF(C689="","",IFERROR(INDEX(Summary!$C$2:$C$14,MATCH(C689,Summary!$A$2:$A$14,0)),"?"))</f>
        <v/>
      </c>
      <c r="F689" s="12"/>
      <c r="H689" s="0" t="str">
        <f aca="false">IF(OR(B689="",F689=""),"",F689-ROW()/100000)</f>
        <v/>
      </c>
      <c r="I689" s="0" t="str">
        <f aca="false">IF(H689="","",C689&amp;"|"&amp;(COUNTIFS($C$2:$C$1000,C689,$H$2:$H$1000,"&gt;"&amp;H689)+1))</f>
        <v/>
      </c>
    </row>
    <row r="690" customFormat="false" ht="15" hidden="false" customHeight="false" outlineLevel="0" collapsed="false">
      <c r="A690" s="8" t="str">
        <f aca="false">IF(F690="","",COUNTIF($F$2:$F$1000,"&gt;"&amp;F690)+1)</f>
        <v/>
      </c>
      <c r="B690" s="9"/>
      <c r="C690" s="10"/>
      <c r="D690" s="11" t="str">
        <f aca="false">IF(C690="","",IFERROR(INDEX(Summary!$B$2:$B$14,MATCH(C690,Summary!$A$2:$A$14,0)),"?"))</f>
        <v/>
      </c>
      <c r="E690" s="11" t="str">
        <f aca="false">IF(C690="","",IFERROR(INDEX(Summary!$C$2:$C$14,MATCH(C690,Summary!$A$2:$A$14,0)),"?"))</f>
        <v/>
      </c>
      <c r="F690" s="12"/>
      <c r="H690" s="0" t="str">
        <f aca="false">IF(OR(B690="",F690=""),"",F690-ROW()/100000)</f>
        <v/>
      </c>
      <c r="I690" s="0" t="str">
        <f aca="false">IF(H690="","",C690&amp;"|"&amp;(COUNTIFS($C$2:$C$1000,C690,$H$2:$H$1000,"&gt;"&amp;H690)+1))</f>
        <v/>
      </c>
    </row>
    <row r="691" customFormat="false" ht="15" hidden="false" customHeight="false" outlineLevel="0" collapsed="false">
      <c r="A691" s="8" t="str">
        <f aca="false">IF(F691="","",COUNTIF($F$2:$F$1000,"&gt;"&amp;F691)+1)</f>
        <v/>
      </c>
      <c r="B691" s="9"/>
      <c r="C691" s="10"/>
      <c r="D691" s="11" t="str">
        <f aca="false">IF(C691="","",IFERROR(INDEX(Summary!$B$2:$B$14,MATCH(C691,Summary!$A$2:$A$14,0)),"?"))</f>
        <v/>
      </c>
      <c r="E691" s="11" t="str">
        <f aca="false">IF(C691="","",IFERROR(INDEX(Summary!$C$2:$C$14,MATCH(C691,Summary!$A$2:$A$14,0)),"?"))</f>
        <v/>
      </c>
      <c r="F691" s="12"/>
      <c r="H691" s="0" t="str">
        <f aca="false">IF(OR(B691="",F691=""),"",F691-ROW()/100000)</f>
        <v/>
      </c>
      <c r="I691" s="0" t="str">
        <f aca="false">IF(H691="","",C691&amp;"|"&amp;(COUNTIFS($C$2:$C$1000,C691,$H$2:$H$1000,"&gt;"&amp;H691)+1))</f>
        <v/>
      </c>
    </row>
    <row r="692" customFormat="false" ht="15" hidden="false" customHeight="false" outlineLevel="0" collapsed="false">
      <c r="A692" s="8" t="str">
        <f aca="false">IF(F692="","",COUNTIF($F$2:$F$1000,"&gt;"&amp;F692)+1)</f>
        <v/>
      </c>
      <c r="B692" s="9"/>
      <c r="C692" s="10"/>
      <c r="D692" s="11" t="str">
        <f aca="false">IF(C692="","",IFERROR(INDEX(Summary!$B$2:$B$14,MATCH(C692,Summary!$A$2:$A$14,0)),"?"))</f>
        <v/>
      </c>
      <c r="E692" s="11" t="str">
        <f aca="false">IF(C692="","",IFERROR(INDEX(Summary!$C$2:$C$14,MATCH(C692,Summary!$A$2:$A$14,0)),"?"))</f>
        <v/>
      </c>
      <c r="F692" s="12"/>
      <c r="H692" s="0" t="str">
        <f aca="false">IF(OR(B692="",F692=""),"",F692-ROW()/100000)</f>
        <v/>
      </c>
      <c r="I692" s="0" t="str">
        <f aca="false">IF(H692="","",C692&amp;"|"&amp;(COUNTIFS($C$2:$C$1000,C692,$H$2:$H$1000,"&gt;"&amp;H692)+1))</f>
        <v/>
      </c>
    </row>
    <row r="693" customFormat="false" ht="15" hidden="false" customHeight="false" outlineLevel="0" collapsed="false">
      <c r="A693" s="8" t="str">
        <f aca="false">IF(F693="","",COUNTIF($F$2:$F$1000,"&gt;"&amp;F693)+1)</f>
        <v/>
      </c>
      <c r="B693" s="9"/>
      <c r="C693" s="10"/>
      <c r="D693" s="11" t="str">
        <f aca="false">IF(C693="","",IFERROR(INDEX(Summary!$B$2:$B$14,MATCH(C693,Summary!$A$2:$A$14,0)),"?"))</f>
        <v/>
      </c>
      <c r="E693" s="11" t="str">
        <f aca="false">IF(C693="","",IFERROR(INDEX(Summary!$C$2:$C$14,MATCH(C693,Summary!$A$2:$A$14,0)),"?"))</f>
        <v/>
      </c>
      <c r="F693" s="12"/>
      <c r="H693" s="0" t="str">
        <f aca="false">IF(OR(B693="",F693=""),"",F693-ROW()/100000)</f>
        <v/>
      </c>
      <c r="I693" s="0" t="str">
        <f aca="false">IF(H693="","",C693&amp;"|"&amp;(COUNTIFS($C$2:$C$1000,C693,$H$2:$H$1000,"&gt;"&amp;H693)+1))</f>
        <v/>
      </c>
    </row>
    <row r="694" customFormat="false" ht="15" hidden="false" customHeight="false" outlineLevel="0" collapsed="false">
      <c r="A694" s="8" t="str">
        <f aca="false">IF(F694="","",COUNTIF($F$2:$F$1000,"&gt;"&amp;F694)+1)</f>
        <v/>
      </c>
      <c r="B694" s="9"/>
      <c r="C694" s="10"/>
      <c r="D694" s="11" t="str">
        <f aca="false">IF(C694="","",IFERROR(INDEX(Summary!$B$2:$B$14,MATCH(C694,Summary!$A$2:$A$14,0)),"?"))</f>
        <v/>
      </c>
      <c r="E694" s="11" t="str">
        <f aca="false">IF(C694="","",IFERROR(INDEX(Summary!$C$2:$C$14,MATCH(C694,Summary!$A$2:$A$14,0)),"?"))</f>
        <v/>
      </c>
      <c r="F694" s="12"/>
      <c r="H694" s="0" t="str">
        <f aca="false">IF(OR(B694="",F694=""),"",F694-ROW()/100000)</f>
        <v/>
      </c>
      <c r="I694" s="0" t="str">
        <f aca="false">IF(H694="","",C694&amp;"|"&amp;(COUNTIFS($C$2:$C$1000,C694,$H$2:$H$1000,"&gt;"&amp;H694)+1))</f>
        <v/>
      </c>
    </row>
    <row r="695" customFormat="false" ht="15" hidden="false" customHeight="false" outlineLevel="0" collapsed="false">
      <c r="A695" s="8" t="str">
        <f aca="false">IF(F695="","",COUNTIF($F$2:$F$1000,"&gt;"&amp;F695)+1)</f>
        <v/>
      </c>
      <c r="B695" s="9"/>
      <c r="C695" s="10"/>
      <c r="D695" s="11" t="str">
        <f aca="false">IF(C695="","",IFERROR(INDEX(Summary!$B$2:$B$14,MATCH(C695,Summary!$A$2:$A$14,0)),"?"))</f>
        <v/>
      </c>
      <c r="E695" s="11" t="str">
        <f aca="false">IF(C695="","",IFERROR(INDEX(Summary!$C$2:$C$14,MATCH(C695,Summary!$A$2:$A$14,0)),"?"))</f>
        <v/>
      </c>
      <c r="F695" s="12"/>
      <c r="H695" s="0" t="str">
        <f aca="false">IF(OR(B695="",F695=""),"",F695-ROW()/100000)</f>
        <v/>
      </c>
      <c r="I695" s="0" t="str">
        <f aca="false">IF(H695="","",C695&amp;"|"&amp;(COUNTIFS($C$2:$C$1000,C695,$H$2:$H$1000,"&gt;"&amp;H695)+1))</f>
        <v/>
      </c>
    </row>
    <row r="696" customFormat="false" ht="15" hidden="false" customHeight="false" outlineLevel="0" collapsed="false">
      <c r="A696" s="8" t="str">
        <f aca="false">IF(F696="","",COUNTIF($F$2:$F$1000,"&gt;"&amp;F696)+1)</f>
        <v/>
      </c>
      <c r="B696" s="9"/>
      <c r="C696" s="10"/>
      <c r="D696" s="11" t="str">
        <f aca="false">IF(C696="","",IFERROR(INDEX(Summary!$B$2:$B$14,MATCH(C696,Summary!$A$2:$A$14,0)),"?"))</f>
        <v/>
      </c>
      <c r="E696" s="11" t="str">
        <f aca="false">IF(C696="","",IFERROR(INDEX(Summary!$C$2:$C$14,MATCH(C696,Summary!$A$2:$A$14,0)),"?"))</f>
        <v/>
      </c>
      <c r="F696" s="12"/>
      <c r="H696" s="0" t="str">
        <f aca="false">IF(OR(B696="",F696=""),"",F696-ROW()/100000)</f>
        <v/>
      </c>
      <c r="I696" s="0" t="str">
        <f aca="false">IF(H696="","",C696&amp;"|"&amp;(COUNTIFS($C$2:$C$1000,C696,$H$2:$H$1000,"&gt;"&amp;H696)+1))</f>
        <v/>
      </c>
    </row>
    <row r="697" customFormat="false" ht="15" hidden="false" customHeight="false" outlineLevel="0" collapsed="false">
      <c r="A697" s="8" t="str">
        <f aca="false">IF(F697="","",COUNTIF($F$2:$F$1000,"&gt;"&amp;F697)+1)</f>
        <v/>
      </c>
      <c r="B697" s="9"/>
      <c r="C697" s="10"/>
      <c r="D697" s="11" t="str">
        <f aca="false">IF(C697="","",IFERROR(INDEX(Summary!$B$2:$B$14,MATCH(C697,Summary!$A$2:$A$14,0)),"?"))</f>
        <v/>
      </c>
      <c r="E697" s="11" t="str">
        <f aca="false">IF(C697="","",IFERROR(INDEX(Summary!$C$2:$C$14,MATCH(C697,Summary!$A$2:$A$14,0)),"?"))</f>
        <v/>
      </c>
      <c r="F697" s="12"/>
      <c r="H697" s="0" t="str">
        <f aca="false">IF(OR(B697="",F697=""),"",F697-ROW()/100000)</f>
        <v/>
      </c>
      <c r="I697" s="0" t="str">
        <f aca="false">IF(H697="","",C697&amp;"|"&amp;(COUNTIFS($C$2:$C$1000,C697,$H$2:$H$1000,"&gt;"&amp;H697)+1))</f>
        <v/>
      </c>
    </row>
    <row r="698" customFormat="false" ht="15" hidden="false" customHeight="false" outlineLevel="0" collapsed="false">
      <c r="A698" s="8" t="str">
        <f aca="false">IF(F698="","",COUNTIF($F$2:$F$1000,"&gt;"&amp;F698)+1)</f>
        <v/>
      </c>
      <c r="B698" s="9"/>
      <c r="C698" s="10"/>
      <c r="D698" s="11" t="str">
        <f aca="false">IF(C698="","",IFERROR(INDEX(Summary!$B$2:$B$14,MATCH(C698,Summary!$A$2:$A$14,0)),"?"))</f>
        <v/>
      </c>
      <c r="E698" s="11" t="str">
        <f aca="false">IF(C698="","",IFERROR(INDEX(Summary!$C$2:$C$14,MATCH(C698,Summary!$A$2:$A$14,0)),"?"))</f>
        <v/>
      </c>
      <c r="F698" s="12"/>
      <c r="H698" s="0" t="str">
        <f aca="false">IF(OR(B698="",F698=""),"",F698-ROW()/100000)</f>
        <v/>
      </c>
      <c r="I698" s="0" t="str">
        <f aca="false">IF(H698="","",C698&amp;"|"&amp;(COUNTIFS($C$2:$C$1000,C698,$H$2:$H$1000,"&gt;"&amp;H698)+1))</f>
        <v/>
      </c>
    </row>
    <row r="699" customFormat="false" ht="15" hidden="false" customHeight="false" outlineLevel="0" collapsed="false">
      <c r="A699" s="8" t="str">
        <f aca="false">IF(F699="","",COUNTIF($F$2:$F$1000,"&gt;"&amp;F699)+1)</f>
        <v/>
      </c>
      <c r="B699" s="9"/>
      <c r="C699" s="10"/>
      <c r="D699" s="11" t="str">
        <f aca="false">IF(C699="","",IFERROR(INDEX(Summary!$B$2:$B$14,MATCH(C699,Summary!$A$2:$A$14,0)),"?"))</f>
        <v/>
      </c>
      <c r="E699" s="11" t="str">
        <f aca="false">IF(C699="","",IFERROR(INDEX(Summary!$C$2:$C$14,MATCH(C699,Summary!$A$2:$A$14,0)),"?"))</f>
        <v/>
      </c>
      <c r="F699" s="12"/>
      <c r="H699" s="0" t="str">
        <f aca="false">IF(OR(B699="",F699=""),"",F699-ROW()/100000)</f>
        <v/>
      </c>
      <c r="I699" s="0" t="str">
        <f aca="false">IF(H699="","",C699&amp;"|"&amp;(COUNTIFS($C$2:$C$1000,C699,$H$2:$H$1000,"&gt;"&amp;H699)+1))</f>
        <v/>
      </c>
    </row>
    <row r="700" customFormat="false" ht="15" hidden="false" customHeight="false" outlineLevel="0" collapsed="false">
      <c r="A700" s="8" t="str">
        <f aca="false">IF(F700="","",COUNTIF($F$2:$F$1000,"&gt;"&amp;F700)+1)</f>
        <v/>
      </c>
      <c r="B700" s="9"/>
      <c r="C700" s="10"/>
      <c r="D700" s="11" t="str">
        <f aca="false">IF(C700="","",IFERROR(INDEX(Summary!$B$2:$B$14,MATCH(C700,Summary!$A$2:$A$14,0)),"?"))</f>
        <v/>
      </c>
      <c r="E700" s="11" t="str">
        <f aca="false">IF(C700="","",IFERROR(INDEX(Summary!$C$2:$C$14,MATCH(C700,Summary!$A$2:$A$14,0)),"?"))</f>
        <v/>
      </c>
      <c r="F700" s="12"/>
      <c r="H700" s="0" t="str">
        <f aca="false">IF(OR(B700="",F700=""),"",F700-ROW()/100000)</f>
        <v/>
      </c>
      <c r="I700" s="0" t="str">
        <f aca="false">IF(H700="","",C700&amp;"|"&amp;(COUNTIFS($C$2:$C$1000,C700,$H$2:$H$1000,"&gt;"&amp;H700)+1))</f>
        <v/>
      </c>
    </row>
    <row r="701" customFormat="false" ht="15" hidden="false" customHeight="false" outlineLevel="0" collapsed="false">
      <c r="A701" s="8" t="str">
        <f aca="false">IF(F701="","",COUNTIF($F$2:$F$1000,"&gt;"&amp;F701)+1)</f>
        <v/>
      </c>
      <c r="B701" s="9"/>
      <c r="C701" s="10"/>
      <c r="D701" s="11" t="str">
        <f aca="false">IF(C701="","",IFERROR(INDEX(Summary!$B$2:$B$14,MATCH(C701,Summary!$A$2:$A$14,0)),"?"))</f>
        <v/>
      </c>
      <c r="E701" s="11" t="str">
        <f aca="false">IF(C701="","",IFERROR(INDEX(Summary!$C$2:$C$14,MATCH(C701,Summary!$A$2:$A$14,0)),"?"))</f>
        <v/>
      </c>
      <c r="F701" s="12"/>
      <c r="H701" s="0" t="str">
        <f aca="false">IF(OR(B701="",F701=""),"",F701-ROW()/100000)</f>
        <v/>
      </c>
      <c r="I701" s="0" t="str">
        <f aca="false">IF(H701="","",C701&amp;"|"&amp;(COUNTIFS($C$2:$C$1000,C701,$H$2:$H$1000,"&gt;"&amp;H701)+1))</f>
        <v/>
      </c>
    </row>
    <row r="702" customFormat="false" ht="15" hidden="false" customHeight="false" outlineLevel="0" collapsed="false">
      <c r="A702" s="8" t="str">
        <f aca="false">IF(F702="","",COUNTIF($F$2:$F$1000,"&gt;"&amp;F702)+1)</f>
        <v/>
      </c>
      <c r="B702" s="9"/>
      <c r="C702" s="10"/>
      <c r="D702" s="11" t="str">
        <f aca="false">IF(C702="","",IFERROR(INDEX(Summary!$B$2:$B$14,MATCH(C702,Summary!$A$2:$A$14,0)),"?"))</f>
        <v/>
      </c>
      <c r="E702" s="11" t="str">
        <f aca="false">IF(C702="","",IFERROR(INDEX(Summary!$C$2:$C$14,MATCH(C702,Summary!$A$2:$A$14,0)),"?"))</f>
        <v/>
      </c>
      <c r="F702" s="12"/>
      <c r="H702" s="0" t="str">
        <f aca="false">IF(OR(B702="",F702=""),"",F702-ROW()/100000)</f>
        <v/>
      </c>
      <c r="I702" s="0" t="str">
        <f aca="false">IF(H702="","",C702&amp;"|"&amp;(COUNTIFS($C$2:$C$1000,C702,$H$2:$H$1000,"&gt;"&amp;H702)+1))</f>
        <v/>
      </c>
    </row>
    <row r="703" customFormat="false" ht="15" hidden="false" customHeight="false" outlineLevel="0" collapsed="false">
      <c r="A703" s="8" t="str">
        <f aca="false">IF(F703="","",COUNTIF($F$2:$F$1000,"&gt;"&amp;F703)+1)</f>
        <v/>
      </c>
      <c r="B703" s="9"/>
      <c r="C703" s="10"/>
      <c r="D703" s="11" t="str">
        <f aca="false">IF(C703="","",IFERROR(INDEX(Summary!$B$2:$B$14,MATCH(C703,Summary!$A$2:$A$14,0)),"?"))</f>
        <v/>
      </c>
      <c r="E703" s="11" t="str">
        <f aca="false">IF(C703="","",IFERROR(INDEX(Summary!$C$2:$C$14,MATCH(C703,Summary!$A$2:$A$14,0)),"?"))</f>
        <v/>
      </c>
      <c r="F703" s="12"/>
      <c r="H703" s="0" t="str">
        <f aca="false">IF(OR(B703="",F703=""),"",F703-ROW()/100000)</f>
        <v/>
      </c>
      <c r="I703" s="0" t="str">
        <f aca="false">IF(H703="","",C703&amp;"|"&amp;(COUNTIFS($C$2:$C$1000,C703,$H$2:$H$1000,"&gt;"&amp;H703)+1))</f>
        <v/>
      </c>
    </row>
    <row r="704" customFormat="false" ht="15" hidden="false" customHeight="false" outlineLevel="0" collapsed="false">
      <c r="A704" s="8" t="str">
        <f aca="false">IF(F704="","",COUNTIF($F$2:$F$1000,"&gt;"&amp;F704)+1)</f>
        <v/>
      </c>
      <c r="B704" s="9"/>
      <c r="C704" s="10"/>
      <c r="D704" s="11" t="str">
        <f aca="false">IF(C704="","",IFERROR(INDEX(Summary!$B$2:$B$14,MATCH(C704,Summary!$A$2:$A$14,0)),"?"))</f>
        <v/>
      </c>
      <c r="E704" s="11" t="str">
        <f aca="false">IF(C704="","",IFERROR(INDEX(Summary!$C$2:$C$14,MATCH(C704,Summary!$A$2:$A$14,0)),"?"))</f>
        <v/>
      </c>
      <c r="F704" s="12"/>
      <c r="H704" s="0" t="str">
        <f aca="false">IF(OR(B704="",F704=""),"",F704-ROW()/100000)</f>
        <v/>
      </c>
      <c r="I704" s="0" t="str">
        <f aca="false">IF(H704="","",C704&amp;"|"&amp;(COUNTIFS($C$2:$C$1000,C704,$H$2:$H$1000,"&gt;"&amp;H704)+1))</f>
        <v/>
      </c>
    </row>
    <row r="705" customFormat="false" ht="15" hidden="false" customHeight="false" outlineLevel="0" collapsed="false">
      <c r="A705" s="8" t="str">
        <f aca="false">IF(F705="","",COUNTIF($F$2:$F$1000,"&gt;"&amp;F705)+1)</f>
        <v/>
      </c>
      <c r="B705" s="9"/>
      <c r="C705" s="10"/>
      <c r="D705" s="11" t="str">
        <f aca="false">IF(C705="","",IFERROR(INDEX(Summary!$B$2:$B$14,MATCH(C705,Summary!$A$2:$A$14,0)),"?"))</f>
        <v/>
      </c>
      <c r="E705" s="11" t="str">
        <f aca="false">IF(C705="","",IFERROR(INDEX(Summary!$C$2:$C$14,MATCH(C705,Summary!$A$2:$A$14,0)),"?"))</f>
        <v/>
      </c>
      <c r="F705" s="12"/>
      <c r="H705" s="0" t="str">
        <f aca="false">IF(OR(B705="",F705=""),"",F705-ROW()/100000)</f>
        <v/>
      </c>
      <c r="I705" s="0" t="str">
        <f aca="false">IF(H705="","",C705&amp;"|"&amp;(COUNTIFS($C$2:$C$1000,C705,$H$2:$H$1000,"&gt;"&amp;H705)+1))</f>
        <v/>
      </c>
    </row>
    <row r="706" customFormat="false" ht="15" hidden="false" customHeight="false" outlineLevel="0" collapsed="false">
      <c r="A706" s="8" t="str">
        <f aca="false">IF(F706="","",COUNTIF($F$2:$F$1000,"&gt;"&amp;F706)+1)</f>
        <v/>
      </c>
      <c r="B706" s="9"/>
      <c r="C706" s="10"/>
      <c r="D706" s="11" t="str">
        <f aca="false">IF(C706="","",IFERROR(INDEX(Summary!$B$2:$B$14,MATCH(C706,Summary!$A$2:$A$14,0)),"?"))</f>
        <v/>
      </c>
      <c r="E706" s="11" t="str">
        <f aca="false">IF(C706="","",IFERROR(INDEX(Summary!$C$2:$C$14,MATCH(C706,Summary!$A$2:$A$14,0)),"?"))</f>
        <v/>
      </c>
      <c r="F706" s="12"/>
      <c r="H706" s="0" t="str">
        <f aca="false">IF(OR(B706="",F706=""),"",F706-ROW()/100000)</f>
        <v/>
      </c>
      <c r="I706" s="0" t="str">
        <f aca="false">IF(H706="","",C706&amp;"|"&amp;(COUNTIFS($C$2:$C$1000,C706,$H$2:$H$1000,"&gt;"&amp;H706)+1))</f>
        <v/>
      </c>
    </row>
    <row r="707" customFormat="false" ht="15" hidden="false" customHeight="false" outlineLevel="0" collapsed="false">
      <c r="A707" s="8" t="str">
        <f aca="false">IF(F707="","",COUNTIF($F$2:$F$1000,"&gt;"&amp;F707)+1)</f>
        <v/>
      </c>
      <c r="B707" s="9"/>
      <c r="C707" s="10"/>
      <c r="D707" s="11" t="str">
        <f aca="false">IF(C707="","",IFERROR(INDEX(Summary!$B$2:$B$14,MATCH(C707,Summary!$A$2:$A$14,0)),"?"))</f>
        <v/>
      </c>
      <c r="E707" s="11" t="str">
        <f aca="false">IF(C707="","",IFERROR(INDEX(Summary!$C$2:$C$14,MATCH(C707,Summary!$A$2:$A$14,0)),"?"))</f>
        <v/>
      </c>
      <c r="F707" s="12"/>
      <c r="H707" s="0" t="str">
        <f aca="false">IF(OR(B707="",F707=""),"",F707-ROW()/100000)</f>
        <v/>
      </c>
      <c r="I707" s="0" t="str">
        <f aca="false">IF(H707="","",C707&amp;"|"&amp;(COUNTIFS($C$2:$C$1000,C707,$H$2:$H$1000,"&gt;"&amp;H707)+1))</f>
        <v/>
      </c>
    </row>
    <row r="708" customFormat="false" ht="15" hidden="false" customHeight="false" outlineLevel="0" collapsed="false">
      <c r="A708" s="8" t="str">
        <f aca="false">IF(F708="","",COUNTIF($F$2:$F$1000,"&gt;"&amp;F708)+1)</f>
        <v/>
      </c>
      <c r="B708" s="9"/>
      <c r="C708" s="10"/>
      <c r="D708" s="11" t="str">
        <f aca="false">IF(C708="","",IFERROR(INDEX(Summary!$B$2:$B$14,MATCH(C708,Summary!$A$2:$A$14,0)),"?"))</f>
        <v/>
      </c>
      <c r="E708" s="11" t="str">
        <f aca="false">IF(C708="","",IFERROR(INDEX(Summary!$C$2:$C$14,MATCH(C708,Summary!$A$2:$A$14,0)),"?"))</f>
        <v/>
      </c>
      <c r="F708" s="12"/>
      <c r="H708" s="0" t="str">
        <f aca="false">IF(OR(B708="",F708=""),"",F708-ROW()/100000)</f>
        <v/>
      </c>
      <c r="I708" s="0" t="str">
        <f aca="false">IF(H708="","",C708&amp;"|"&amp;(COUNTIFS($C$2:$C$1000,C708,$H$2:$H$1000,"&gt;"&amp;H708)+1))</f>
        <v/>
      </c>
    </row>
    <row r="709" customFormat="false" ht="15" hidden="false" customHeight="false" outlineLevel="0" collapsed="false">
      <c r="A709" s="8" t="str">
        <f aca="false">IF(F709="","",COUNTIF($F$2:$F$1000,"&gt;"&amp;F709)+1)</f>
        <v/>
      </c>
      <c r="B709" s="9"/>
      <c r="C709" s="10"/>
      <c r="D709" s="11" t="str">
        <f aca="false">IF(C709="","",IFERROR(INDEX(Summary!$B$2:$B$14,MATCH(C709,Summary!$A$2:$A$14,0)),"?"))</f>
        <v/>
      </c>
      <c r="E709" s="11" t="str">
        <f aca="false">IF(C709="","",IFERROR(INDEX(Summary!$C$2:$C$14,MATCH(C709,Summary!$A$2:$A$14,0)),"?"))</f>
        <v/>
      </c>
      <c r="F709" s="12"/>
      <c r="H709" s="0" t="str">
        <f aca="false">IF(OR(B709="",F709=""),"",F709-ROW()/100000)</f>
        <v/>
      </c>
      <c r="I709" s="0" t="str">
        <f aca="false">IF(H709="","",C709&amp;"|"&amp;(COUNTIFS($C$2:$C$1000,C709,$H$2:$H$1000,"&gt;"&amp;H709)+1))</f>
        <v/>
      </c>
    </row>
    <row r="710" customFormat="false" ht="15" hidden="false" customHeight="false" outlineLevel="0" collapsed="false">
      <c r="A710" s="8" t="str">
        <f aca="false">IF(F710="","",COUNTIF($F$2:$F$1000,"&gt;"&amp;F710)+1)</f>
        <v/>
      </c>
      <c r="B710" s="9"/>
      <c r="C710" s="10"/>
      <c r="D710" s="11" t="str">
        <f aca="false">IF(C710="","",IFERROR(INDEX(Summary!$B$2:$B$14,MATCH(C710,Summary!$A$2:$A$14,0)),"?"))</f>
        <v/>
      </c>
      <c r="E710" s="11" t="str">
        <f aca="false">IF(C710="","",IFERROR(INDEX(Summary!$C$2:$C$14,MATCH(C710,Summary!$A$2:$A$14,0)),"?"))</f>
        <v/>
      </c>
      <c r="F710" s="12"/>
      <c r="H710" s="0" t="str">
        <f aca="false">IF(OR(B710="",F710=""),"",F710-ROW()/100000)</f>
        <v/>
      </c>
      <c r="I710" s="0" t="str">
        <f aca="false">IF(H710="","",C710&amp;"|"&amp;(COUNTIFS($C$2:$C$1000,C710,$H$2:$H$1000,"&gt;"&amp;H710)+1))</f>
        <v/>
      </c>
    </row>
    <row r="711" customFormat="false" ht="15" hidden="false" customHeight="false" outlineLevel="0" collapsed="false">
      <c r="A711" s="8" t="str">
        <f aca="false">IF(F711="","",COUNTIF($F$2:$F$1000,"&gt;"&amp;F711)+1)</f>
        <v/>
      </c>
      <c r="B711" s="9"/>
      <c r="C711" s="10"/>
      <c r="D711" s="11" t="str">
        <f aca="false">IF(C711="","",IFERROR(INDEX(Summary!$B$2:$B$14,MATCH(C711,Summary!$A$2:$A$14,0)),"?"))</f>
        <v/>
      </c>
      <c r="E711" s="11" t="str">
        <f aca="false">IF(C711="","",IFERROR(INDEX(Summary!$C$2:$C$14,MATCH(C711,Summary!$A$2:$A$14,0)),"?"))</f>
        <v/>
      </c>
      <c r="F711" s="12"/>
      <c r="H711" s="0" t="str">
        <f aca="false">IF(OR(B711="",F711=""),"",F711-ROW()/100000)</f>
        <v/>
      </c>
      <c r="I711" s="0" t="str">
        <f aca="false">IF(H711="","",C711&amp;"|"&amp;(COUNTIFS($C$2:$C$1000,C711,$H$2:$H$1000,"&gt;"&amp;H711)+1))</f>
        <v/>
      </c>
    </row>
    <row r="712" customFormat="false" ht="15" hidden="false" customHeight="false" outlineLevel="0" collapsed="false">
      <c r="A712" s="8" t="str">
        <f aca="false">IF(F712="","",COUNTIF($F$2:$F$1000,"&gt;"&amp;F712)+1)</f>
        <v/>
      </c>
      <c r="B712" s="9"/>
      <c r="C712" s="10"/>
      <c r="D712" s="11" t="str">
        <f aca="false">IF(C712="","",IFERROR(INDEX(Summary!$B$2:$B$14,MATCH(C712,Summary!$A$2:$A$14,0)),"?"))</f>
        <v/>
      </c>
      <c r="E712" s="11" t="str">
        <f aca="false">IF(C712="","",IFERROR(INDEX(Summary!$C$2:$C$14,MATCH(C712,Summary!$A$2:$A$14,0)),"?"))</f>
        <v/>
      </c>
      <c r="F712" s="12"/>
      <c r="H712" s="0" t="str">
        <f aca="false">IF(OR(B712="",F712=""),"",F712-ROW()/100000)</f>
        <v/>
      </c>
      <c r="I712" s="0" t="str">
        <f aca="false">IF(H712="","",C712&amp;"|"&amp;(COUNTIFS($C$2:$C$1000,C712,$H$2:$H$1000,"&gt;"&amp;H712)+1))</f>
        <v/>
      </c>
    </row>
    <row r="713" customFormat="false" ht="15" hidden="false" customHeight="false" outlineLevel="0" collapsed="false">
      <c r="A713" s="8" t="str">
        <f aca="false">IF(F713="","",COUNTIF($F$2:$F$1000,"&gt;"&amp;F713)+1)</f>
        <v/>
      </c>
      <c r="B713" s="9"/>
      <c r="C713" s="10"/>
      <c r="D713" s="11" t="str">
        <f aca="false">IF(C713="","",IFERROR(INDEX(Summary!$B$2:$B$14,MATCH(C713,Summary!$A$2:$A$14,0)),"?"))</f>
        <v/>
      </c>
      <c r="E713" s="11" t="str">
        <f aca="false">IF(C713="","",IFERROR(INDEX(Summary!$C$2:$C$14,MATCH(C713,Summary!$A$2:$A$14,0)),"?"))</f>
        <v/>
      </c>
      <c r="F713" s="12"/>
      <c r="H713" s="0" t="str">
        <f aca="false">IF(OR(B713="",F713=""),"",F713-ROW()/100000)</f>
        <v/>
      </c>
      <c r="I713" s="0" t="str">
        <f aca="false">IF(H713="","",C713&amp;"|"&amp;(COUNTIFS($C$2:$C$1000,C713,$H$2:$H$1000,"&gt;"&amp;H713)+1))</f>
        <v/>
      </c>
    </row>
    <row r="714" customFormat="false" ht="15" hidden="false" customHeight="false" outlineLevel="0" collapsed="false">
      <c r="A714" s="8" t="str">
        <f aca="false">IF(F714="","",COUNTIF($F$2:$F$1000,"&gt;"&amp;F714)+1)</f>
        <v/>
      </c>
      <c r="B714" s="9"/>
      <c r="C714" s="10"/>
      <c r="D714" s="11" t="str">
        <f aca="false">IF(C714="","",IFERROR(INDEX(Summary!$B$2:$B$14,MATCH(C714,Summary!$A$2:$A$14,0)),"?"))</f>
        <v/>
      </c>
      <c r="E714" s="11" t="str">
        <f aca="false">IF(C714="","",IFERROR(INDEX(Summary!$C$2:$C$14,MATCH(C714,Summary!$A$2:$A$14,0)),"?"))</f>
        <v/>
      </c>
      <c r="F714" s="12"/>
      <c r="H714" s="0" t="str">
        <f aca="false">IF(OR(B714="",F714=""),"",F714-ROW()/100000)</f>
        <v/>
      </c>
      <c r="I714" s="0" t="str">
        <f aca="false">IF(H714="","",C714&amp;"|"&amp;(COUNTIFS($C$2:$C$1000,C714,$H$2:$H$1000,"&gt;"&amp;H714)+1))</f>
        <v/>
      </c>
    </row>
    <row r="715" customFormat="false" ht="15" hidden="false" customHeight="false" outlineLevel="0" collapsed="false">
      <c r="A715" s="8" t="str">
        <f aca="false">IF(F715="","",COUNTIF($F$2:$F$1000,"&gt;"&amp;F715)+1)</f>
        <v/>
      </c>
      <c r="B715" s="9"/>
      <c r="C715" s="10"/>
      <c r="D715" s="11" t="str">
        <f aca="false">IF(C715="","",IFERROR(INDEX(Summary!$B$2:$B$14,MATCH(C715,Summary!$A$2:$A$14,0)),"?"))</f>
        <v/>
      </c>
      <c r="E715" s="11" t="str">
        <f aca="false">IF(C715="","",IFERROR(INDEX(Summary!$C$2:$C$14,MATCH(C715,Summary!$A$2:$A$14,0)),"?"))</f>
        <v/>
      </c>
      <c r="F715" s="12"/>
      <c r="H715" s="0" t="str">
        <f aca="false">IF(OR(B715="",F715=""),"",F715-ROW()/100000)</f>
        <v/>
      </c>
      <c r="I715" s="0" t="str">
        <f aca="false">IF(H715="","",C715&amp;"|"&amp;(COUNTIFS($C$2:$C$1000,C715,$H$2:$H$1000,"&gt;"&amp;H715)+1))</f>
        <v/>
      </c>
    </row>
    <row r="716" customFormat="false" ht="15" hidden="false" customHeight="false" outlineLevel="0" collapsed="false">
      <c r="A716" s="8" t="str">
        <f aca="false">IF(F716="","",COUNTIF($F$2:$F$1000,"&gt;"&amp;F716)+1)</f>
        <v/>
      </c>
      <c r="B716" s="9"/>
      <c r="C716" s="10"/>
      <c r="D716" s="11" t="str">
        <f aca="false">IF(C716="","",IFERROR(INDEX(Summary!$B$2:$B$14,MATCH(C716,Summary!$A$2:$A$14,0)),"?"))</f>
        <v/>
      </c>
      <c r="E716" s="11" t="str">
        <f aca="false">IF(C716="","",IFERROR(INDEX(Summary!$C$2:$C$14,MATCH(C716,Summary!$A$2:$A$14,0)),"?"))</f>
        <v/>
      </c>
      <c r="F716" s="12"/>
      <c r="H716" s="0" t="str">
        <f aca="false">IF(OR(B716="",F716=""),"",F716-ROW()/100000)</f>
        <v/>
      </c>
      <c r="I716" s="0" t="str">
        <f aca="false">IF(H716="","",C716&amp;"|"&amp;(COUNTIFS($C$2:$C$1000,C716,$H$2:$H$1000,"&gt;"&amp;H716)+1))</f>
        <v/>
      </c>
    </row>
    <row r="717" customFormat="false" ht="15" hidden="false" customHeight="false" outlineLevel="0" collapsed="false">
      <c r="A717" s="8" t="str">
        <f aca="false">IF(F717="","",COUNTIF($F$2:$F$1000,"&gt;"&amp;F717)+1)</f>
        <v/>
      </c>
      <c r="B717" s="9"/>
      <c r="C717" s="10"/>
      <c r="D717" s="11" t="str">
        <f aca="false">IF(C717="","",IFERROR(INDEX(Summary!$B$2:$B$14,MATCH(C717,Summary!$A$2:$A$14,0)),"?"))</f>
        <v/>
      </c>
      <c r="E717" s="11" t="str">
        <f aca="false">IF(C717="","",IFERROR(INDEX(Summary!$C$2:$C$14,MATCH(C717,Summary!$A$2:$A$14,0)),"?"))</f>
        <v/>
      </c>
      <c r="F717" s="12"/>
      <c r="H717" s="0" t="str">
        <f aca="false">IF(OR(B717="",F717=""),"",F717-ROW()/100000)</f>
        <v/>
      </c>
      <c r="I717" s="0" t="str">
        <f aca="false">IF(H717="","",C717&amp;"|"&amp;(COUNTIFS($C$2:$C$1000,C717,$H$2:$H$1000,"&gt;"&amp;H717)+1))</f>
        <v/>
      </c>
    </row>
    <row r="718" customFormat="false" ht="15" hidden="false" customHeight="false" outlineLevel="0" collapsed="false">
      <c r="A718" s="8" t="str">
        <f aca="false">IF(F718="","",COUNTIF($F$2:$F$1000,"&gt;"&amp;F718)+1)</f>
        <v/>
      </c>
      <c r="B718" s="9"/>
      <c r="C718" s="10"/>
      <c r="D718" s="11" t="str">
        <f aca="false">IF(C718="","",IFERROR(INDEX(Summary!$B$2:$B$14,MATCH(C718,Summary!$A$2:$A$14,0)),"?"))</f>
        <v/>
      </c>
      <c r="E718" s="11" t="str">
        <f aca="false">IF(C718="","",IFERROR(INDEX(Summary!$C$2:$C$14,MATCH(C718,Summary!$A$2:$A$14,0)),"?"))</f>
        <v/>
      </c>
      <c r="F718" s="12"/>
      <c r="H718" s="0" t="str">
        <f aca="false">IF(OR(B718="",F718=""),"",F718-ROW()/100000)</f>
        <v/>
      </c>
      <c r="I718" s="0" t="str">
        <f aca="false">IF(H718="","",C718&amp;"|"&amp;(COUNTIFS($C$2:$C$1000,C718,$H$2:$H$1000,"&gt;"&amp;H718)+1))</f>
        <v/>
      </c>
    </row>
    <row r="719" customFormat="false" ht="15" hidden="false" customHeight="false" outlineLevel="0" collapsed="false">
      <c r="A719" s="8" t="str">
        <f aca="false">IF(F719="","",COUNTIF($F$2:$F$1000,"&gt;"&amp;F719)+1)</f>
        <v/>
      </c>
      <c r="B719" s="9"/>
      <c r="C719" s="10"/>
      <c r="D719" s="11" t="str">
        <f aca="false">IF(C719="","",IFERROR(INDEX(Summary!$B$2:$B$14,MATCH(C719,Summary!$A$2:$A$14,0)),"?"))</f>
        <v/>
      </c>
      <c r="E719" s="11" t="str">
        <f aca="false">IF(C719="","",IFERROR(INDEX(Summary!$C$2:$C$14,MATCH(C719,Summary!$A$2:$A$14,0)),"?"))</f>
        <v/>
      </c>
      <c r="F719" s="12"/>
      <c r="H719" s="0" t="str">
        <f aca="false">IF(OR(B719="",F719=""),"",F719-ROW()/100000)</f>
        <v/>
      </c>
      <c r="I719" s="0" t="str">
        <f aca="false">IF(H719="","",C719&amp;"|"&amp;(COUNTIFS($C$2:$C$1000,C719,$H$2:$H$1000,"&gt;"&amp;H719)+1))</f>
        <v/>
      </c>
    </row>
    <row r="720" customFormat="false" ht="15" hidden="false" customHeight="false" outlineLevel="0" collapsed="false">
      <c r="A720" s="8" t="str">
        <f aca="false">IF(F720="","",COUNTIF($F$2:$F$1000,"&gt;"&amp;F720)+1)</f>
        <v/>
      </c>
      <c r="B720" s="9"/>
      <c r="C720" s="10"/>
      <c r="D720" s="11" t="str">
        <f aca="false">IF(C720="","",IFERROR(INDEX(Summary!$B$2:$B$14,MATCH(C720,Summary!$A$2:$A$14,0)),"?"))</f>
        <v/>
      </c>
      <c r="E720" s="11" t="str">
        <f aca="false">IF(C720="","",IFERROR(INDEX(Summary!$C$2:$C$14,MATCH(C720,Summary!$A$2:$A$14,0)),"?"))</f>
        <v/>
      </c>
      <c r="F720" s="12"/>
      <c r="H720" s="0" t="str">
        <f aca="false">IF(OR(B720="",F720=""),"",F720-ROW()/100000)</f>
        <v/>
      </c>
      <c r="I720" s="0" t="str">
        <f aca="false">IF(H720="","",C720&amp;"|"&amp;(COUNTIFS($C$2:$C$1000,C720,$H$2:$H$1000,"&gt;"&amp;H720)+1))</f>
        <v/>
      </c>
    </row>
    <row r="721" customFormat="false" ht="15" hidden="false" customHeight="false" outlineLevel="0" collapsed="false">
      <c r="A721" s="8" t="str">
        <f aca="false">IF(F721="","",COUNTIF($F$2:$F$1000,"&gt;"&amp;F721)+1)</f>
        <v/>
      </c>
      <c r="B721" s="9"/>
      <c r="C721" s="10"/>
      <c r="D721" s="11" t="str">
        <f aca="false">IF(C721="","",IFERROR(INDEX(Summary!$B$2:$B$14,MATCH(C721,Summary!$A$2:$A$14,0)),"?"))</f>
        <v/>
      </c>
      <c r="E721" s="11" t="str">
        <f aca="false">IF(C721="","",IFERROR(INDEX(Summary!$C$2:$C$14,MATCH(C721,Summary!$A$2:$A$14,0)),"?"))</f>
        <v/>
      </c>
      <c r="F721" s="12"/>
      <c r="H721" s="0" t="str">
        <f aca="false">IF(OR(B721="",F721=""),"",F721-ROW()/100000)</f>
        <v/>
      </c>
      <c r="I721" s="0" t="str">
        <f aca="false">IF(H721="","",C721&amp;"|"&amp;(COUNTIFS($C$2:$C$1000,C721,$H$2:$H$1000,"&gt;"&amp;H721)+1))</f>
        <v/>
      </c>
    </row>
    <row r="722" customFormat="false" ht="15" hidden="false" customHeight="false" outlineLevel="0" collapsed="false">
      <c r="A722" s="8" t="str">
        <f aca="false">IF(F722="","",COUNTIF($F$2:$F$1000,"&gt;"&amp;F722)+1)</f>
        <v/>
      </c>
      <c r="B722" s="9"/>
      <c r="C722" s="10"/>
      <c r="D722" s="11" t="str">
        <f aca="false">IF(C722="","",IFERROR(INDEX(Summary!$B$2:$B$14,MATCH(C722,Summary!$A$2:$A$14,0)),"?"))</f>
        <v/>
      </c>
      <c r="E722" s="11" t="str">
        <f aca="false">IF(C722="","",IFERROR(INDEX(Summary!$C$2:$C$14,MATCH(C722,Summary!$A$2:$A$14,0)),"?"))</f>
        <v/>
      </c>
      <c r="F722" s="12"/>
      <c r="H722" s="0" t="str">
        <f aca="false">IF(OR(B722="",F722=""),"",F722-ROW()/100000)</f>
        <v/>
      </c>
      <c r="I722" s="0" t="str">
        <f aca="false">IF(H722="","",C722&amp;"|"&amp;(COUNTIFS($C$2:$C$1000,C722,$H$2:$H$1000,"&gt;"&amp;H722)+1))</f>
        <v/>
      </c>
    </row>
    <row r="723" customFormat="false" ht="15" hidden="false" customHeight="false" outlineLevel="0" collapsed="false">
      <c r="A723" s="8" t="str">
        <f aca="false">IF(F723="","",COUNTIF($F$2:$F$1000,"&gt;"&amp;F723)+1)</f>
        <v/>
      </c>
      <c r="B723" s="9"/>
      <c r="C723" s="10"/>
      <c r="D723" s="11" t="str">
        <f aca="false">IF(C723="","",IFERROR(INDEX(Summary!$B$2:$B$14,MATCH(C723,Summary!$A$2:$A$14,0)),"?"))</f>
        <v/>
      </c>
      <c r="E723" s="11" t="str">
        <f aca="false">IF(C723="","",IFERROR(INDEX(Summary!$C$2:$C$14,MATCH(C723,Summary!$A$2:$A$14,0)),"?"))</f>
        <v/>
      </c>
      <c r="F723" s="12"/>
      <c r="H723" s="0" t="str">
        <f aca="false">IF(OR(B723="",F723=""),"",F723-ROW()/100000)</f>
        <v/>
      </c>
      <c r="I723" s="0" t="str">
        <f aca="false">IF(H723="","",C723&amp;"|"&amp;(COUNTIFS($C$2:$C$1000,C723,$H$2:$H$1000,"&gt;"&amp;H723)+1))</f>
        <v/>
      </c>
    </row>
    <row r="724" customFormat="false" ht="15" hidden="false" customHeight="false" outlineLevel="0" collapsed="false">
      <c r="A724" s="8" t="str">
        <f aca="false">IF(F724="","",COUNTIF($F$2:$F$1000,"&gt;"&amp;F724)+1)</f>
        <v/>
      </c>
      <c r="B724" s="9"/>
      <c r="C724" s="10"/>
      <c r="D724" s="11" t="str">
        <f aca="false">IF(C724="","",IFERROR(INDEX(Summary!$B$2:$B$14,MATCH(C724,Summary!$A$2:$A$14,0)),"?"))</f>
        <v/>
      </c>
      <c r="E724" s="11" t="str">
        <f aca="false">IF(C724="","",IFERROR(INDEX(Summary!$C$2:$C$14,MATCH(C724,Summary!$A$2:$A$14,0)),"?"))</f>
        <v/>
      </c>
      <c r="F724" s="12"/>
      <c r="H724" s="0" t="str">
        <f aca="false">IF(OR(B724="",F724=""),"",F724-ROW()/100000)</f>
        <v/>
      </c>
      <c r="I724" s="0" t="str">
        <f aca="false">IF(H724="","",C724&amp;"|"&amp;(COUNTIFS($C$2:$C$1000,C724,$H$2:$H$1000,"&gt;"&amp;H724)+1))</f>
        <v/>
      </c>
    </row>
    <row r="725" customFormat="false" ht="15" hidden="false" customHeight="false" outlineLevel="0" collapsed="false">
      <c r="A725" s="8" t="str">
        <f aca="false">IF(F725="","",COUNTIF($F$2:$F$1000,"&gt;"&amp;F725)+1)</f>
        <v/>
      </c>
      <c r="B725" s="9"/>
      <c r="C725" s="10"/>
      <c r="D725" s="11" t="str">
        <f aca="false">IF(C725="","",IFERROR(INDEX(Summary!$B$2:$B$14,MATCH(C725,Summary!$A$2:$A$14,0)),"?"))</f>
        <v/>
      </c>
      <c r="E725" s="11" t="str">
        <f aca="false">IF(C725="","",IFERROR(INDEX(Summary!$C$2:$C$14,MATCH(C725,Summary!$A$2:$A$14,0)),"?"))</f>
        <v/>
      </c>
      <c r="F725" s="12"/>
      <c r="H725" s="0" t="str">
        <f aca="false">IF(OR(B725="",F725=""),"",F725-ROW()/100000)</f>
        <v/>
      </c>
      <c r="I725" s="0" t="str">
        <f aca="false">IF(H725="","",C725&amp;"|"&amp;(COUNTIFS($C$2:$C$1000,C725,$H$2:$H$1000,"&gt;"&amp;H725)+1))</f>
        <v/>
      </c>
    </row>
    <row r="726" customFormat="false" ht="15" hidden="false" customHeight="false" outlineLevel="0" collapsed="false">
      <c r="A726" s="8" t="str">
        <f aca="false">IF(F726="","",COUNTIF($F$2:$F$1000,"&gt;"&amp;F726)+1)</f>
        <v/>
      </c>
      <c r="B726" s="9"/>
      <c r="C726" s="10"/>
      <c r="D726" s="11" t="str">
        <f aca="false">IF(C726="","",IFERROR(INDEX(Summary!$B$2:$B$14,MATCH(C726,Summary!$A$2:$A$14,0)),"?"))</f>
        <v/>
      </c>
      <c r="E726" s="11" t="str">
        <f aca="false">IF(C726="","",IFERROR(INDEX(Summary!$C$2:$C$14,MATCH(C726,Summary!$A$2:$A$14,0)),"?"))</f>
        <v/>
      </c>
      <c r="F726" s="12"/>
      <c r="H726" s="0" t="str">
        <f aca="false">IF(OR(B726="",F726=""),"",F726-ROW()/100000)</f>
        <v/>
      </c>
      <c r="I726" s="0" t="str">
        <f aca="false">IF(H726="","",C726&amp;"|"&amp;(COUNTIFS($C$2:$C$1000,C726,$H$2:$H$1000,"&gt;"&amp;H726)+1))</f>
        <v/>
      </c>
    </row>
    <row r="727" customFormat="false" ht="15" hidden="false" customHeight="false" outlineLevel="0" collapsed="false">
      <c r="A727" s="8" t="str">
        <f aca="false">IF(F727="","",COUNTIF($F$2:$F$1000,"&gt;"&amp;F727)+1)</f>
        <v/>
      </c>
      <c r="B727" s="9"/>
      <c r="C727" s="10"/>
      <c r="D727" s="11" t="str">
        <f aca="false">IF(C727="","",IFERROR(INDEX(Summary!$B$2:$B$14,MATCH(C727,Summary!$A$2:$A$14,0)),"?"))</f>
        <v/>
      </c>
      <c r="E727" s="11" t="str">
        <f aca="false">IF(C727="","",IFERROR(INDEX(Summary!$C$2:$C$14,MATCH(C727,Summary!$A$2:$A$14,0)),"?"))</f>
        <v/>
      </c>
      <c r="F727" s="12"/>
      <c r="H727" s="0" t="str">
        <f aca="false">IF(OR(B727="",F727=""),"",F727-ROW()/100000)</f>
        <v/>
      </c>
      <c r="I727" s="0" t="str">
        <f aca="false">IF(H727="","",C727&amp;"|"&amp;(COUNTIFS($C$2:$C$1000,C727,$H$2:$H$1000,"&gt;"&amp;H727)+1))</f>
        <v/>
      </c>
    </row>
    <row r="728" customFormat="false" ht="15" hidden="false" customHeight="false" outlineLevel="0" collapsed="false">
      <c r="A728" s="8" t="str">
        <f aca="false">IF(F728="","",COUNTIF($F$2:$F$1000,"&gt;"&amp;F728)+1)</f>
        <v/>
      </c>
      <c r="B728" s="9"/>
      <c r="C728" s="10"/>
      <c r="D728" s="11" t="str">
        <f aca="false">IF(C728="","",IFERROR(INDEX(Summary!$B$2:$B$14,MATCH(C728,Summary!$A$2:$A$14,0)),"?"))</f>
        <v/>
      </c>
      <c r="E728" s="11" t="str">
        <f aca="false">IF(C728="","",IFERROR(INDEX(Summary!$C$2:$C$14,MATCH(C728,Summary!$A$2:$A$14,0)),"?"))</f>
        <v/>
      </c>
      <c r="F728" s="12"/>
      <c r="H728" s="0" t="str">
        <f aca="false">IF(OR(B728="",F728=""),"",F728-ROW()/100000)</f>
        <v/>
      </c>
      <c r="I728" s="0" t="str">
        <f aca="false">IF(H728="","",C728&amp;"|"&amp;(COUNTIFS($C$2:$C$1000,C728,$H$2:$H$1000,"&gt;"&amp;H728)+1))</f>
        <v/>
      </c>
    </row>
    <row r="729" customFormat="false" ht="15" hidden="false" customHeight="false" outlineLevel="0" collapsed="false">
      <c r="A729" s="8" t="str">
        <f aca="false">IF(F729="","",COUNTIF($F$2:$F$1000,"&gt;"&amp;F729)+1)</f>
        <v/>
      </c>
      <c r="B729" s="9"/>
      <c r="C729" s="10"/>
      <c r="D729" s="11" t="str">
        <f aca="false">IF(C729="","",IFERROR(INDEX(Summary!$B$2:$B$14,MATCH(C729,Summary!$A$2:$A$14,0)),"?"))</f>
        <v/>
      </c>
      <c r="E729" s="11" t="str">
        <f aca="false">IF(C729="","",IFERROR(INDEX(Summary!$C$2:$C$14,MATCH(C729,Summary!$A$2:$A$14,0)),"?"))</f>
        <v/>
      </c>
      <c r="F729" s="12"/>
      <c r="H729" s="0" t="str">
        <f aca="false">IF(OR(B729="",F729=""),"",F729-ROW()/100000)</f>
        <v/>
      </c>
      <c r="I729" s="0" t="str">
        <f aca="false">IF(H729="","",C729&amp;"|"&amp;(COUNTIFS($C$2:$C$1000,C729,$H$2:$H$1000,"&gt;"&amp;H729)+1))</f>
        <v/>
      </c>
    </row>
    <row r="730" customFormat="false" ht="15" hidden="false" customHeight="false" outlineLevel="0" collapsed="false">
      <c r="A730" s="8" t="str">
        <f aca="false">IF(F730="","",COUNTIF($F$2:$F$1000,"&gt;"&amp;F730)+1)</f>
        <v/>
      </c>
      <c r="B730" s="9"/>
      <c r="C730" s="10"/>
      <c r="D730" s="11" t="str">
        <f aca="false">IF(C730="","",IFERROR(INDEX(Summary!$B$2:$B$14,MATCH(C730,Summary!$A$2:$A$14,0)),"?"))</f>
        <v/>
      </c>
      <c r="E730" s="11" t="str">
        <f aca="false">IF(C730="","",IFERROR(INDEX(Summary!$C$2:$C$14,MATCH(C730,Summary!$A$2:$A$14,0)),"?"))</f>
        <v/>
      </c>
      <c r="F730" s="12"/>
      <c r="H730" s="0" t="str">
        <f aca="false">IF(OR(B730="",F730=""),"",F730-ROW()/100000)</f>
        <v/>
      </c>
      <c r="I730" s="0" t="str">
        <f aca="false">IF(H730="","",C730&amp;"|"&amp;(COUNTIFS($C$2:$C$1000,C730,$H$2:$H$1000,"&gt;"&amp;H730)+1))</f>
        <v/>
      </c>
    </row>
    <row r="731" customFormat="false" ht="15" hidden="false" customHeight="false" outlineLevel="0" collapsed="false">
      <c r="A731" s="8" t="str">
        <f aca="false">IF(F731="","",COUNTIF($F$2:$F$1000,"&gt;"&amp;F731)+1)</f>
        <v/>
      </c>
      <c r="B731" s="9"/>
      <c r="C731" s="10"/>
      <c r="D731" s="11" t="str">
        <f aca="false">IF(C731="","",IFERROR(INDEX(Summary!$B$2:$B$14,MATCH(C731,Summary!$A$2:$A$14,0)),"?"))</f>
        <v/>
      </c>
      <c r="E731" s="11" t="str">
        <f aca="false">IF(C731="","",IFERROR(INDEX(Summary!$C$2:$C$14,MATCH(C731,Summary!$A$2:$A$14,0)),"?"))</f>
        <v/>
      </c>
      <c r="F731" s="12"/>
      <c r="H731" s="0" t="str">
        <f aca="false">IF(OR(B731="",F731=""),"",F731-ROW()/100000)</f>
        <v/>
      </c>
      <c r="I731" s="0" t="str">
        <f aca="false">IF(H731="","",C731&amp;"|"&amp;(COUNTIFS($C$2:$C$1000,C731,$H$2:$H$1000,"&gt;"&amp;H731)+1))</f>
        <v/>
      </c>
    </row>
    <row r="732" customFormat="false" ht="15" hidden="false" customHeight="false" outlineLevel="0" collapsed="false">
      <c r="A732" s="8" t="str">
        <f aca="false">IF(F732="","",COUNTIF($F$2:$F$1000,"&gt;"&amp;F732)+1)</f>
        <v/>
      </c>
      <c r="B732" s="9"/>
      <c r="C732" s="10"/>
      <c r="D732" s="11" t="str">
        <f aca="false">IF(C732="","",IFERROR(INDEX(Summary!$B$2:$B$14,MATCH(C732,Summary!$A$2:$A$14,0)),"?"))</f>
        <v/>
      </c>
      <c r="E732" s="11" t="str">
        <f aca="false">IF(C732="","",IFERROR(INDEX(Summary!$C$2:$C$14,MATCH(C732,Summary!$A$2:$A$14,0)),"?"))</f>
        <v/>
      </c>
      <c r="F732" s="12"/>
      <c r="H732" s="0" t="str">
        <f aca="false">IF(OR(B732="",F732=""),"",F732-ROW()/100000)</f>
        <v/>
      </c>
      <c r="I732" s="0" t="str">
        <f aca="false">IF(H732="","",C732&amp;"|"&amp;(COUNTIFS($C$2:$C$1000,C732,$H$2:$H$1000,"&gt;"&amp;H732)+1))</f>
        <v/>
      </c>
    </row>
    <row r="733" customFormat="false" ht="15" hidden="false" customHeight="false" outlineLevel="0" collapsed="false">
      <c r="A733" s="8" t="str">
        <f aca="false">IF(F733="","",COUNTIF($F$2:$F$1000,"&gt;"&amp;F733)+1)</f>
        <v/>
      </c>
      <c r="B733" s="9"/>
      <c r="C733" s="10"/>
      <c r="D733" s="11" t="str">
        <f aca="false">IF(C733="","",IFERROR(INDEX(Summary!$B$2:$B$14,MATCH(C733,Summary!$A$2:$A$14,0)),"?"))</f>
        <v/>
      </c>
      <c r="E733" s="11" t="str">
        <f aca="false">IF(C733="","",IFERROR(INDEX(Summary!$C$2:$C$14,MATCH(C733,Summary!$A$2:$A$14,0)),"?"))</f>
        <v/>
      </c>
      <c r="F733" s="12"/>
      <c r="H733" s="0" t="str">
        <f aca="false">IF(OR(B733="",F733=""),"",F733-ROW()/100000)</f>
        <v/>
      </c>
      <c r="I733" s="0" t="str">
        <f aca="false">IF(H733="","",C733&amp;"|"&amp;(COUNTIFS($C$2:$C$1000,C733,$H$2:$H$1000,"&gt;"&amp;H733)+1))</f>
        <v/>
      </c>
    </row>
    <row r="734" customFormat="false" ht="15" hidden="false" customHeight="false" outlineLevel="0" collapsed="false">
      <c r="A734" s="8" t="str">
        <f aca="false">IF(F734="","",COUNTIF($F$2:$F$1000,"&gt;"&amp;F734)+1)</f>
        <v/>
      </c>
      <c r="B734" s="9"/>
      <c r="C734" s="10"/>
      <c r="D734" s="11" t="str">
        <f aca="false">IF(C734="","",IFERROR(INDEX(Summary!$B$2:$B$14,MATCH(C734,Summary!$A$2:$A$14,0)),"?"))</f>
        <v/>
      </c>
      <c r="E734" s="11" t="str">
        <f aca="false">IF(C734="","",IFERROR(INDEX(Summary!$C$2:$C$14,MATCH(C734,Summary!$A$2:$A$14,0)),"?"))</f>
        <v/>
      </c>
      <c r="F734" s="12"/>
      <c r="H734" s="0" t="str">
        <f aca="false">IF(OR(B734="",F734=""),"",F734-ROW()/100000)</f>
        <v/>
      </c>
      <c r="I734" s="0" t="str">
        <f aca="false">IF(H734="","",C734&amp;"|"&amp;(COUNTIFS($C$2:$C$1000,C734,$H$2:$H$1000,"&gt;"&amp;H734)+1))</f>
        <v/>
      </c>
    </row>
    <row r="735" customFormat="false" ht="15" hidden="false" customHeight="false" outlineLevel="0" collapsed="false">
      <c r="A735" s="8" t="str">
        <f aca="false">IF(F735="","",COUNTIF($F$2:$F$1000,"&gt;"&amp;F735)+1)</f>
        <v/>
      </c>
      <c r="B735" s="9"/>
      <c r="C735" s="10"/>
      <c r="D735" s="11" t="str">
        <f aca="false">IF(C735="","",IFERROR(INDEX(Summary!$B$2:$B$14,MATCH(C735,Summary!$A$2:$A$14,0)),"?"))</f>
        <v/>
      </c>
      <c r="E735" s="11" t="str">
        <f aca="false">IF(C735="","",IFERROR(INDEX(Summary!$C$2:$C$14,MATCH(C735,Summary!$A$2:$A$14,0)),"?"))</f>
        <v/>
      </c>
      <c r="F735" s="12"/>
      <c r="H735" s="0" t="str">
        <f aca="false">IF(OR(B735="",F735=""),"",F735-ROW()/100000)</f>
        <v/>
      </c>
      <c r="I735" s="0" t="str">
        <f aca="false">IF(H735="","",C735&amp;"|"&amp;(COUNTIFS($C$2:$C$1000,C735,$H$2:$H$1000,"&gt;"&amp;H735)+1))</f>
        <v/>
      </c>
    </row>
    <row r="736" customFormat="false" ht="15" hidden="false" customHeight="false" outlineLevel="0" collapsed="false">
      <c r="A736" s="8" t="str">
        <f aca="false">IF(F736="","",COUNTIF($F$2:$F$1000,"&gt;"&amp;F736)+1)</f>
        <v/>
      </c>
      <c r="B736" s="9"/>
      <c r="C736" s="10"/>
      <c r="D736" s="11" t="str">
        <f aca="false">IF(C736="","",IFERROR(INDEX(Summary!$B$2:$B$14,MATCH(C736,Summary!$A$2:$A$14,0)),"?"))</f>
        <v/>
      </c>
      <c r="E736" s="11" t="str">
        <f aca="false">IF(C736="","",IFERROR(INDEX(Summary!$C$2:$C$14,MATCH(C736,Summary!$A$2:$A$14,0)),"?"))</f>
        <v/>
      </c>
      <c r="F736" s="12"/>
      <c r="H736" s="0" t="str">
        <f aca="false">IF(OR(B736="",F736=""),"",F736-ROW()/100000)</f>
        <v/>
      </c>
      <c r="I736" s="0" t="str">
        <f aca="false">IF(H736="","",C736&amp;"|"&amp;(COUNTIFS($C$2:$C$1000,C736,$H$2:$H$1000,"&gt;"&amp;H736)+1))</f>
        <v/>
      </c>
    </row>
    <row r="737" customFormat="false" ht="15" hidden="false" customHeight="false" outlineLevel="0" collapsed="false">
      <c r="A737" s="8" t="str">
        <f aca="false">IF(F737="","",COUNTIF($F$2:$F$1000,"&gt;"&amp;F737)+1)</f>
        <v/>
      </c>
      <c r="B737" s="9"/>
      <c r="C737" s="10"/>
      <c r="D737" s="11" t="str">
        <f aca="false">IF(C737="","",IFERROR(INDEX(Summary!$B$2:$B$14,MATCH(C737,Summary!$A$2:$A$14,0)),"?"))</f>
        <v/>
      </c>
      <c r="E737" s="11" t="str">
        <f aca="false">IF(C737="","",IFERROR(INDEX(Summary!$C$2:$C$14,MATCH(C737,Summary!$A$2:$A$14,0)),"?"))</f>
        <v/>
      </c>
      <c r="F737" s="12"/>
      <c r="H737" s="0" t="str">
        <f aca="false">IF(OR(B737="",F737=""),"",F737-ROW()/100000)</f>
        <v/>
      </c>
      <c r="I737" s="0" t="str">
        <f aca="false">IF(H737="","",C737&amp;"|"&amp;(COUNTIFS($C$2:$C$1000,C737,$H$2:$H$1000,"&gt;"&amp;H737)+1))</f>
        <v/>
      </c>
    </row>
    <row r="738" customFormat="false" ht="15" hidden="false" customHeight="false" outlineLevel="0" collapsed="false">
      <c r="A738" s="8" t="str">
        <f aca="false">IF(F738="","",COUNTIF($F$2:$F$1000,"&gt;"&amp;F738)+1)</f>
        <v/>
      </c>
      <c r="B738" s="9"/>
      <c r="C738" s="10"/>
      <c r="D738" s="11" t="str">
        <f aca="false">IF(C738="","",IFERROR(INDEX(Summary!$B$2:$B$14,MATCH(C738,Summary!$A$2:$A$14,0)),"?"))</f>
        <v/>
      </c>
      <c r="E738" s="11" t="str">
        <f aca="false">IF(C738="","",IFERROR(INDEX(Summary!$C$2:$C$14,MATCH(C738,Summary!$A$2:$A$14,0)),"?"))</f>
        <v/>
      </c>
      <c r="F738" s="12"/>
      <c r="H738" s="0" t="str">
        <f aca="false">IF(OR(B738="",F738=""),"",F738-ROW()/100000)</f>
        <v/>
      </c>
      <c r="I738" s="0" t="str">
        <f aca="false">IF(H738="","",C738&amp;"|"&amp;(COUNTIFS($C$2:$C$1000,C738,$H$2:$H$1000,"&gt;"&amp;H738)+1))</f>
        <v/>
      </c>
    </row>
    <row r="739" customFormat="false" ht="15" hidden="false" customHeight="false" outlineLevel="0" collapsed="false">
      <c r="A739" s="8" t="str">
        <f aca="false">IF(F739="","",COUNTIF($F$2:$F$1000,"&gt;"&amp;F739)+1)</f>
        <v/>
      </c>
      <c r="B739" s="9"/>
      <c r="C739" s="10"/>
      <c r="D739" s="11" t="str">
        <f aca="false">IF(C739="","",IFERROR(INDEX(Summary!$B$2:$B$14,MATCH(C739,Summary!$A$2:$A$14,0)),"?"))</f>
        <v/>
      </c>
      <c r="E739" s="11" t="str">
        <f aca="false">IF(C739="","",IFERROR(INDEX(Summary!$C$2:$C$14,MATCH(C739,Summary!$A$2:$A$14,0)),"?"))</f>
        <v/>
      </c>
      <c r="F739" s="12"/>
      <c r="H739" s="0" t="str">
        <f aca="false">IF(OR(B739="",F739=""),"",F739-ROW()/100000)</f>
        <v/>
      </c>
      <c r="I739" s="0" t="str">
        <f aca="false">IF(H739="","",C739&amp;"|"&amp;(COUNTIFS($C$2:$C$1000,C739,$H$2:$H$1000,"&gt;"&amp;H739)+1))</f>
        <v/>
      </c>
    </row>
    <row r="740" customFormat="false" ht="15" hidden="false" customHeight="false" outlineLevel="0" collapsed="false">
      <c r="A740" s="8" t="str">
        <f aca="false">IF(F740="","",COUNTIF($F$2:$F$1000,"&gt;"&amp;F740)+1)</f>
        <v/>
      </c>
      <c r="B740" s="9"/>
      <c r="C740" s="10"/>
      <c r="D740" s="11" t="str">
        <f aca="false">IF(C740="","",IFERROR(INDEX(Summary!$B$2:$B$14,MATCH(C740,Summary!$A$2:$A$14,0)),"?"))</f>
        <v/>
      </c>
      <c r="E740" s="11" t="str">
        <f aca="false">IF(C740="","",IFERROR(INDEX(Summary!$C$2:$C$14,MATCH(C740,Summary!$A$2:$A$14,0)),"?"))</f>
        <v/>
      </c>
      <c r="F740" s="12"/>
      <c r="H740" s="0" t="str">
        <f aca="false">IF(OR(B740="",F740=""),"",F740-ROW()/100000)</f>
        <v/>
      </c>
      <c r="I740" s="0" t="str">
        <f aca="false">IF(H740="","",C740&amp;"|"&amp;(COUNTIFS($C$2:$C$1000,C740,$H$2:$H$1000,"&gt;"&amp;H740)+1))</f>
        <v/>
      </c>
    </row>
    <row r="741" customFormat="false" ht="15" hidden="false" customHeight="false" outlineLevel="0" collapsed="false">
      <c r="A741" s="8" t="str">
        <f aca="false">IF(F741="","",COUNTIF($F$2:$F$1000,"&gt;"&amp;F741)+1)</f>
        <v/>
      </c>
      <c r="B741" s="9"/>
      <c r="C741" s="10"/>
      <c r="D741" s="11" t="str">
        <f aca="false">IF(C741="","",IFERROR(INDEX(Summary!$B$2:$B$14,MATCH(C741,Summary!$A$2:$A$14,0)),"?"))</f>
        <v/>
      </c>
      <c r="E741" s="11" t="str">
        <f aca="false">IF(C741="","",IFERROR(INDEX(Summary!$C$2:$C$14,MATCH(C741,Summary!$A$2:$A$14,0)),"?"))</f>
        <v/>
      </c>
      <c r="F741" s="12"/>
      <c r="H741" s="0" t="str">
        <f aca="false">IF(OR(B741="",F741=""),"",F741-ROW()/100000)</f>
        <v/>
      </c>
      <c r="I741" s="0" t="str">
        <f aca="false">IF(H741="","",C741&amp;"|"&amp;(COUNTIFS($C$2:$C$1000,C741,$H$2:$H$1000,"&gt;"&amp;H741)+1))</f>
        <v/>
      </c>
    </row>
    <row r="742" customFormat="false" ht="15" hidden="false" customHeight="false" outlineLevel="0" collapsed="false">
      <c r="A742" s="8" t="str">
        <f aca="false">IF(F742="","",COUNTIF($F$2:$F$1000,"&gt;"&amp;F742)+1)</f>
        <v/>
      </c>
      <c r="B742" s="9"/>
      <c r="C742" s="10"/>
      <c r="D742" s="11" t="str">
        <f aca="false">IF(C742="","",IFERROR(INDEX(Summary!$B$2:$B$14,MATCH(C742,Summary!$A$2:$A$14,0)),"?"))</f>
        <v/>
      </c>
      <c r="E742" s="11" t="str">
        <f aca="false">IF(C742="","",IFERROR(INDEX(Summary!$C$2:$C$14,MATCH(C742,Summary!$A$2:$A$14,0)),"?"))</f>
        <v/>
      </c>
      <c r="F742" s="12"/>
      <c r="H742" s="0" t="str">
        <f aca="false">IF(OR(B742="",F742=""),"",F742-ROW()/100000)</f>
        <v/>
      </c>
      <c r="I742" s="0" t="str">
        <f aca="false">IF(H742="","",C742&amp;"|"&amp;(COUNTIFS($C$2:$C$1000,C742,$H$2:$H$1000,"&gt;"&amp;H742)+1))</f>
        <v/>
      </c>
    </row>
    <row r="743" customFormat="false" ht="15" hidden="false" customHeight="false" outlineLevel="0" collapsed="false">
      <c r="A743" s="8" t="str">
        <f aca="false">IF(F743="","",COUNTIF($F$2:$F$1000,"&gt;"&amp;F743)+1)</f>
        <v/>
      </c>
      <c r="B743" s="9"/>
      <c r="C743" s="10"/>
      <c r="D743" s="11" t="str">
        <f aca="false">IF(C743="","",IFERROR(INDEX(Summary!$B$2:$B$14,MATCH(C743,Summary!$A$2:$A$14,0)),"?"))</f>
        <v/>
      </c>
      <c r="E743" s="11" t="str">
        <f aca="false">IF(C743="","",IFERROR(INDEX(Summary!$C$2:$C$14,MATCH(C743,Summary!$A$2:$A$14,0)),"?"))</f>
        <v/>
      </c>
      <c r="F743" s="12"/>
      <c r="H743" s="0" t="str">
        <f aca="false">IF(OR(B743="",F743=""),"",F743-ROW()/100000)</f>
        <v/>
      </c>
      <c r="I743" s="0" t="str">
        <f aca="false">IF(H743="","",C743&amp;"|"&amp;(COUNTIFS($C$2:$C$1000,C743,$H$2:$H$1000,"&gt;"&amp;H743)+1))</f>
        <v/>
      </c>
    </row>
    <row r="744" customFormat="false" ht="15" hidden="false" customHeight="false" outlineLevel="0" collapsed="false">
      <c r="A744" s="8" t="str">
        <f aca="false">IF(F744="","",COUNTIF($F$2:$F$1000,"&gt;"&amp;F744)+1)</f>
        <v/>
      </c>
      <c r="B744" s="9"/>
      <c r="C744" s="10"/>
      <c r="D744" s="11" t="str">
        <f aca="false">IF(C744="","",IFERROR(INDEX(Summary!$B$2:$B$14,MATCH(C744,Summary!$A$2:$A$14,0)),"?"))</f>
        <v/>
      </c>
      <c r="E744" s="11" t="str">
        <f aca="false">IF(C744="","",IFERROR(INDEX(Summary!$C$2:$C$14,MATCH(C744,Summary!$A$2:$A$14,0)),"?"))</f>
        <v/>
      </c>
      <c r="F744" s="12"/>
      <c r="H744" s="0" t="str">
        <f aca="false">IF(OR(B744="",F744=""),"",F744-ROW()/100000)</f>
        <v/>
      </c>
      <c r="I744" s="0" t="str">
        <f aca="false">IF(H744="","",C744&amp;"|"&amp;(COUNTIFS($C$2:$C$1000,C744,$H$2:$H$1000,"&gt;"&amp;H744)+1))</f>
        <v/>
      </c>
    </row>
    <row r="745" customFormat="false" ht="15" hidden="false" customHeight="false" outlineLevel="0" collapsed="false">
      <c r="A745" s="8" t="str">
        <f aca="false">IF(F745="","",COUNTIF($F$2:$F$1000,"&gt;"&amp;F745)+1)</f>
        <v/>
      </c>
      <c r="B745" s="9"/>
      <c r="C745" s="10"/>
      <c r="D745" s="11" t="str">
        <f aca="false">IF(C745="","",IFERROR(INDEX(Summary!$B$2:$B$14,MATCH(C745,Summary!$A$2:$A$14,0)),"?"))</f>
        <v/>
      </c>
      <c r="E745" s="11" t="str">
        <f aca="false">IF(C745="","",IFERROR(INDEX(Summary!$C$2:$C$14,MATCH(C745,Summary!$A$2:$A$14,0)),"?"))</f>
        <v/>
      </c>
      <c r="F745" s="12"/>
      <c r="H745" s="0" t="str">
        <f aca="false">IF(OR(B745="",F745=""),"",F745-ROW()/100000)</f>
        <v/>
      </c>
      <c r="I745" s="0" t="str">
        <f aca="false">IF(H745="","",C745&amp;"|"&amp;(COUNTIFS($C$2:$C$1000,C745,$H$2:$H$1000,"&gt;"&amp;H745)+1))</f>
        <v/>
      </c>
    </row>
    <row r="746" customFormat="false" ht="15" hidden="false" customHeight="false" outlineLevel="0" collapsed="false">
      <c r="A746" s="8" t="str">
        <f aca="false">IF(F746="","",COUNTIF($F$2:$F$1000,"&gt;"&amp;F746)+1)</f>
        <v/>
      </c>
      <c r="B746" s="9"/>
      <c r="C746" s="10"/>
      <c r="D746" s="11" t="str">
        <f aca="false">IF(C746="","",IFERROR(INDEX(Summary!$B$2:$B$14,MATCH(C746,Summary!$A$2:$A$14,0)),"?"))</f>
        <v/>
      </c>
      <c r="E746" s="11" t="str">
        <f aca="false">IF(C746="","",IFERROR(INDEX(Summary!$C$2:$C$14,MATCH(C746,Summary!$A$2:$A$14,0)),"?"))</f>
        <v/>
      </c>
      <c r="F746" s="12"/>
      <c r="H746" s="0" t="str">
        <f aca="false">IF(OR(B746="",F746=""),"",F746-ROW()/100000)</f>
        <v/>
      </c>
      <c r="I746" s="0" t="str">
        <f aca="false">IF(H746="","",C746&amp;"|"&amp;(COUNTIFS($C$2:$C$1000,C746,$H$2:$H$1000,"&gt;"&amp;H746)+1))</f>
        <v/>
      </c>
    </row>
    <row r="747" customFormat="false" ht="15" hidden="false" customHeight="false" outlineLevel="0" collapsed="false">
      <c r="A747" s="8" t="str">
        <f aca="false">IF(F747="","",COUNTIF($F$2:$F$1000,"&gt;"&amp;F747)+1)</f>
        <v/>
      </c>
      <c r="B747" s="9"/>
      <c r="C747" s="10"/>
      <c r="D747" s="11" t="str">
        <f aca="false">IF(C747="","",IFERROR(INDEX(Summary!$B$2:$B$14,MATCH(C747,Summary!$A$2:$A$14,0)),"?"))</f>
        <v/>
      </c>
      <c r="E747" s="11" t="str">
        <f aca="false">IF(C747="","",IFERROR(INDEX(Summary!$C$2:$C$14,MATCH(C747,Summary!$A$2:$A$14,0)),"?"))</f>
        <v/>
      </c>
      <c r="F747" s="12"/>
      <c r="H747" s="0" t="str">
        <f aca="false">IF(OR(B747="",F747=""),"",F747-ROW()/100000)</f>
        <v/>
      </c>
      <c r="I747" s="0" t="str">
        <f aca="false">IF(H747="","",C747&amp;"|"&amp;(COUNTIFS($C$2:$C$1000,C747,$H$2:$H$1000,"&gt;"&amp;H747)+1))</f>
        <v/>
      </c>
    </row>
    <row r="748" customFormat="false" ht="15" hidden="false" customHeight="false" outlineLevel="0" collapsed="false">
      <c r="A748" s="8" t="str">
        <f aca="false">IF(F748="","",COUNTIF($F$2:$F$1000,"&gt;"&amp;F748)+1)</f>
        <v/>
      </c>
      <c r="B748" s="9"/>
      <c r="C748" s="10"/>
      <c r="D748" s="11" t="str">
        <f aca="false">IF(C748="","",IFERROR(INDEX(Summary!$B$2:$B$14,MATCH(C748,Summary!$A$2:$A$14,0)),"?"))</f>
        <v/>
      </c>
      <c r="E748" s="11" t="str">
        <f aca="false">IF(C748="","",IFERROR(INDEX(Summary!$C$2:$C$14,MATCH(C748,Summary!$A$2:$A$14,0)),"?"))</f>
        <v/>
      </c>
      <c r="F748" s="12"/>
      <c r="H748" s="0" t="str">
        <f aca="false">IF(OR(B748="",F748=""),"",F748-ROW()/100000)</f>
        <v/>
      </c>
      <c r="I748" s="0" t="str">
        <f aca="false">IF(H748="","",C748&amp;"|"&amp;(COUNTIFS($C$2:$C$1000,C748,$H$2:$H$1000,"&gt;"&amp;H748)+1))</f>
        <v/>
      </c>
    </row>
    <row r="749" customFormat="false" ht="15" hidden="false" customHeight="false" outlineLevel="0" collapsed="false">
      <c r="A749" s="8" t="str">
        <f aca="false">IF(F749="","",COUNTIF($F$2:$F$1000,"&gt;"&amp;F749)+1)</f>
        <v/>
      </c>
      <c r="B749" s="9"/>
      <c r="C749" s="10"/>
      <c r="D749" s="11" t="str">
        <f aca="false">IF(C749="","",IFERROR(INDEX(Summary!$B$2:$B$14,MATCH(C749,Summary!$A$2:$A$14,0)),"?"))</f>
        <v/>
      </c>
      <c r="E749" s="11" t="str">
        <f aca="false">IF(C749="","",IFERROR(INDEX(Summary!$C$2:$C$14,MATCH(C749,Summary!$A$2:$A$14,0)),"?"))</f>
        <v/>
      </c>
      <c r="F749" s="12"/>
      <c r="H749" s="0" t="str">
        <f aca="false">IF(OR(B749="",F749=""),"",F749-ROW()/100000)</f>
        <v/>
      </c>
      <c r="I749" s="0" t="str">
        <f aca="false">IF(H749="","",C749&amp;"|"&amp;(COUNTIFS($C$2:$C$1000,C749,$H$2:$H$1000,"&gt;"&amp;H749)+1))</f>
        <v/>
      </c>
    </row>
    <row r="750" customFormat="false" ht="15" hidden="false" customHeight="false" outlineLevel="0" collapsed="false">
      <c r="A750" s="8" t="str">
        <f aca="false">IF(F750="","",COUNTIF($F$2:$F$1000,"&gt;"&amp;F750)+1)</f>
        <v/>
      </c>
      <c r="B750" s="9"/>
      <c r="C750" s="10"/>
      <c r="D750" s="11" t="str">
        <f aca="false">IF(C750="","",IFERROR(INDEX(Summary!$B$2:$B$14,MATCH(C750,Summary!$A$2:$A$14,0)),"?"))</f>
        <v/>
      </c>
      <c r="E750" s="11" t="str">
        <f aca="false">IF(C750="","",IFERROR(INDEX(Summary!$C$2:$C$14,MATCH(C750,Summary!$A$2:$A$14,0)),"?"))</f>
        <v/>
      </c>
      <c r="F750" s="12"/>
      <c r="H750" s="0" t="str">
        <f aca="false">IF(OR(B750="",F750=""),"",F750-ROW()/100000)</f>
        <v/>
      </c>
      <c r="I750" s="0" t="str">
        <f aca="false">IF(H750="","",C750&amp;"|"&amp;(COUNTIFS($C$2:$C$1000,C750,$H$2:$H$1000,"&gt;"&amp;H750)+1))</f>
        <v/>
      </c>
    </row>
    <row r="751" customFormat="false" ht="15" hidden="false" customHeight="false" outlineLevel="0" collapsed="false">
      <c r="A751" s="8" t="str">
        <f aca="false">IF(F751="","",COUNTIF($F$2:$F$1000,"&gt;"&amp;F751)+1)</f>
        <v/>
      </c>
      <c r="B751" s="9"/>
      <c r="C751" s="10"/>
      <c r="D751" s="11" t="str">
        <f aca="false">IF(C751="","",IFERROR(INDEX(Summary!$B$2:$B$14,MATCH(C751,Summary!$A$2:$A$14,0)),"?"))</f>
        <v/>
      </c>
      <c r="E751" s="11" t="str">
        <f aca="false">IF(C751="","",IFERROR(INDEX(Summary!$C$2:$C$14,MATCH(C751,Summary!$A$2:$A$14,0)),"?"))</f>
        <v/>
      </c>
      <c r="F751" s="12"/>
      <c r="H751" s="0" t="str">
        <f aca="false">IF(OR(B751="",F751=""),"",F751-ROW()/100000)</f>
        <v/>
      </c>
      <c r="I751" s="0" t="str">
        <f aca="false">IF(H751="","",C751&amp;"|"&amp;(COUNTIFS($C$2:$C$1000,C751,$H$2:$H$1000,"&gt;"&amp;H751)+1))</f>
        <v/>
      </c>
    </row>
    <row r="752" customFormat="false" ht="15" hidden="false" customHeight="false" outlineLevel="0" collapsed="false">
      <c r="A752" s="8" t="str">
        <f aca="false">IF(F752="","",COUNTIF($F$2:$F$1000,"&gt;"&amp;F752)+1)</f>
        <v/>
      </c>
      <c r="B752" s="9"/>
      <c r="C752" s="10"/>
      <c r="D752" s="11" t="str">
        <f aca="false">IF(C752="","",IFERROR(INDEX(Summary!$B$2:$B$14,MATCH(C752,Summary!$A$2:$A$14,0)),"?"))</f>
        <v/>
      </c>
      <c r="E752" s="11" t="str">
        <f aca="false">IF(C752="","",IFERROR(INDEX(Summary!$C$2:$C$14,MATCH(C752,Summary!$A$2:$A$14,0)),"?"))</f>
        <v/>
      </c>
      <c r="F752" s="12"/>
      <c r="H752" s="0" t="str">
        <f aca="false">IF(OR(B752="",F752=""),"",F752-ROW()/100000)</f>
        <v/>
      </c>
      <c r="I752" s="0" t="str">
        <f aca="false">IF(H752="","",C752&amp;"|"&amp;(COUNTIFS($C$2:$C$1000,C752,$H$2:$H$1000,"&gt;"&amp;H752)+1))</f>
        <v/>
      </c>
    </row>
    <row r="753" customFormat="false" ht="15" hidden="false" customHeight="false" outlineLevel="0" collapsed="false">
      <c r="A753" s="8" t="str">
        <f aca="false">IF(F753="","",COUNTIF($F$2:$F$1000,"&gt;"&amp;F753)+1)</f>
        <v/>
      </c>
      <c r="B753" s="9"/>
      <c r="C753" s="10"/>
      <c r="D753" s="11" t="str">
        <f aca="false">IF(C753="","",IFERROR(INDEX(Summary!$B$2:$B$14,MATCH(C753,Summary!$A$2:$A$14,0)),"?"))</f>
        <v/>
      </c>
      <c r="E753" s="11" t="str">
        <f aca="false">IF(C753="","",IFERROR(INDEX(Summary!$C$2:$C$14,MATCH(C753,Summary!$A$2:$A$14,0)),"?"))</f>
        <v/>
      </c>
      <c r="F753" s="12"/>
      <c r="H753" s="0" t="str">
        <f aca="false">IF(OR(B753="",F753=""),"",F753-ROW()/100000)</f>
        <v/>
      </c>
      <c r="I753" s="0" t="str">
        <f aca="false">IF(H753="","",C753&amp;"|"&amp;(COUNTIFS($C$2:$C$1000,C753,$H$2:$H$1000,"&gt;"&amp;H753)+1))</f>
        <v/>
      </c>
    </row>
    <row r="754" customFormat="false" ht="15" hidden="false" customHeight="false" outlineLevel="0" collapsed="false">
      <c r="A754" s="8" t="str">
        <f aca="false">IF(F754="","",COUNTIF($F$2:$F$1000,"&gt;"&amp;F754)+1)</f>
        <v/>
      </c>
      <c r="B754" s="9"/>
      <c r="C754" s="10"/>
      <c r="D754" s="11" t="str">
        <f aca="false">IF(C754="","",IFERROR(INDEX(Summary!$B$2:$B$14,MATCH(C754,Summary!$A$2:$A$14,0)),"?"))</f>
        <v/>
      </c>
      <c r="E754" s="11" t="str">
        <f aca="false">IF(C754="","",IFERROR(INDEX(Summary!$C$2:$C$14,MATCH(C754,Summary!$A$2:$A$14,0)),"?"))</f>
        <v/>
      </c>
      <c r="F754" s="12"/>
      <c r="H754" s="0" t="str">
        <f aca="false">IF(OR(B754="",F754=""),"",F754-ROW()/100000)</f>
        <v/>
      </c>
      <c r="I754" s="0" t="str">
        <f aca="false">IF(H754="","",C754&amp;"|"&amp;(COUNTIFS($C$2:$C$1000,C754,$H$2:$H$1000,"&gt;"&amp;H754)+1))</f>
        <v/>
      </c>
    </row>
    <row r="755" customFormat="false" ht="15" hidden="false" customHeight="false" outlineLevel="0" collapsed="false">
      <c r="A755" s="8" t="str">
        <f aca="false">IF(F755="","",COUNTIF($F$2:$F$1000,"&gt;"&amp;F755)+1)</f>
        <v/>
      </c>
      <c r="B755" s="9"/>
      <c r="C755" s="10"/>
      <c r="D755" s="11" t="str">
        <f aca="false">IF(C755="","",IFERROR(INDEX(Summary!$B$2:$B$14,MATCH(C755,Summary!$A$2:$A$14,0)),"?"))</f>
        <v/>
      </c>
      <c r="E755" s="11" t="str">
        <f aca="false">IF(C755="","",IFERROR(INDEX(Summary!$C$2:$C$14,MATCH(C755,Summary!$A$2:$A$14,0)),"?"))</f>
        <v/>
      </c>
      <c r="F755" s="12"/>
      <c r="H755" s="0" t="str">
        <f aca="false">IF(OR(B755="",F755=""),"",F755-ROW()/100000)</f>
        <v/>
      </c>
      <c r="I755" s="0" t="str">
        <f aca="false">IF(H755="","",C755&amp;"|"&amp;(COUNTIFS($C$2:$C$1000,C755,$H$2:$H$1000,"&gt;"&amp;H755)+1))</f>
        <v/>
      </c>
    </row>
    <row r="756" customFormat="false" ht="15" hidden="false" customHeight="false" outlineLevel="0" collapsed="false">
      <c r="A756" s="8" t="str">
        <f aca="false">IF(F756="","",COUNTIF($F$2:$F$1000,"&gt;"&amp;F756)+1)</f>
        <v/>
      </c>
      <c r="B756" s="9"/>
      <c r="C756" s="10"/>
      <c r="D756" s="11" t="str">
        <f aca="false">IF(C756="","",IFERROR(INDEX(Summary!$B$2:$B$14,MATCH(C756,Summary!$A$2:$A$14,0)),"?"))</f>
        <v/>
      </c>
      <c r="E756" s="11" t="str">
        <f aca="false">IF(C756="","",IFERROR(INDEX(Summary!$C$2:$C$14,MATCH(C756,Summary!$A$2:$A$14,0)),"?"))</f>
        <v/>
      </c>
      <c r="F756" s="12"/>
      <c r="H756" s="0" t="str">
        <f aca="false">IF(OR(B756="",F756=""),"",F756-ROW()/100000)</f>
        <v/>
      </c>
      <c r="I756" s="0" t="str">
        <f aca="false">IF(H756="","",C756&amp;"|"&amp;(COUNTIFS($C$2:$C$1000,C756,$H$2:$H$1000,"&gt;"&amp;H756)+1))</f>
        <v/>
      </c>
    </row>
    <row r="757" customFormat="false" ht="15" hidden="false" customHeight="false" outlineLevel="0" collapsed="false">
      <c r="A757" s="8" t="str">
        <f aca="false">IF(F757="","",COUNTIF($F$2:$F$1000,"&gt;"&amp;F757)+1)</f>
        <v/>
      </c>
      <c r="B757" s="9"/>
      <c r="C757" s="10"/>
      <c r="D757" s="11" t="str">
        <f aca="false">IF(C757="","",IFERROR(INDEX(Summary!$B$2:$B$14,MATCH(C757,Summary!$A$2:$A$14,0)),"?"))</f>
        <v/>
      </c>
      <c r="E757" s="11" t="str">
        <f aca="false">IF(C757="","",IFERROR(INDEX(Summary!$C$2:$C$14,MATCH(C757,Summary!$A$2:$A$14,0)),"?"))</f>
        <v/>
      </c>
      <c r="F757" s="12"/>
      <c r="H757" s="0" t="str">
        <f aca="false">IF(OR(B757="",F757=""),"",F757-ROW()/100000)</f>
        <v/>
      </c>
      <c r="I757" s="0" t="str">
        <f aca="false">IF(H757="","",C757&amp;"|"&amp;(COUNTIFS($C$2:$C$1000,C757,$H$2:$H$1000,"&gt;"&amp;H757)+1))</f>
        <v/>
      </c>
    </row>
    <row r="758" customFormat="false" ht="15" hidden="false" customHeight="false" outlineLevel="0" collapsed="false">
      <c r="A758" s="8" t="str">
        <f aca="false">IF(F758="","",COUNTIF($F$2:$F$1000,"&gt;"&amp;F758)+1)</f>
        <v/>
      </c>
      <c r="B758" s="9"/>
      <c r="C758" s="10"/>
      <c r="D758" s="11" t="str">
        <f aca="false">IF(C758="","",IFERROR(INDEX(Summary!$B$2:$B$14,MATCH(C758,Summary!$A$2:$A$14,0)),"?"))</f>
        <v/>
      </c>
      <c r="E758" s="11" t="str">
        <f aca="false">IF(C758="","",IFERROR(INDEX(Summary!$C$2:$C$14,MATCH(C758,Summary!$A$2:$A$14,0)),"?"))</f>
        <v/>
      </c>
      <c r="F758" s="12"/>
      <c r="H758" s="0" t="str">
        <f aca="false">IF(OR(B758="",F758=""),"",F758-ROW()/100000)</f>
        <v/>
      </c>
      <c r="I758" s="0" t="str">
        <f aca="false">IF(H758="","",C758&amp;"|"&amp;(COUNTIFS($C$2:$C$1000,C758,$H$2:$H$1000,"&gt;"&amp;H758)+1))</f>
        <v/>
      </c>
    </row>
    <row r="759" customFormat="false" ht="15" hidden="false" customHeight="false" outlineLevel="0" collapsed="false">
      <c r="A759" s="8" t="str">
        <f aca="false">IF(F759="","",COUNTIF($F$2:$F$1000,"&gt;"&amp;F759)+1)</f>
        <v/>
      </c>
      <c r="B759" s="9"/>
      <c r="C759" s="10"/>
      <c r="D759" s="11" t="str">
        <f aca="false">IF(C759="","",IFERROR(INDEX(Summary!$B$2:$B$14,MATCH(C759,Summary!$A$2:$A$14,0)),"?"))</f>
        <v/>
      </c>
      <c r="E759" s="11" t="str">
        <f aca="false">IF(C759="","",IFERROR(INDEX(Summary!$C$2:$C$14,MATCH(C759,Summary!$A$2:$A$14,0)),"?"))</f>
        <v/>
      </c>
      <c r="F759" s="12"/>
      <c r="H759" s="0" t="str">
        <f aca="false">IF(OR(B759="",F759=""),"",F759-ROW()/100000)</f>
        <v/>
      </c>
      <c r="I759" s="0" t="str">
        <f aca="false">IF(H759="","",C759&amp;"|"&amp;(COUNTIFS($C$2:$C$1000,C759,$H$2:$H$1000,"&gt;"&amp;H759)+1))</f>
        <v/>
      </c>
    </row>
    <row r="760" customFormat="false" ht="15" hidden="false" customHeight="false" outlineLevel="0" collapsed="false">
      <c r="A760" s="8" t="str">
        <f aca="false">IF(F760="","",COUNTIF($F$2:$F$1000,"&gt;"&amp;F760)+1)</f>
        <v/>
      </c>
      <c r="B760" s="9"/>
      <c r="C760" s="10"/>
      <c r="D760" s="11" t="str">
        <f aca="false">IF(C760="","",IFERROR(INDEX(Summary!$B$2:$B$14,MATCH(C760,Summary!$A$2:$A$14,0)),"?"))</f>
        <v/>
      </c>
      <c r="E760" s="11" t="str">
        <f aca="false">IF(C760="","",IFERROR(INDEX(Summary!$C$2:$C$14,MATCH(C760,Summary!$A$2:$A$14,0)),"?"))</f>
        <v/>
      </c>
      <c r="F760" s="12"/>
      <c r="H760" s="0" t="str">
        <f aca="false">IF(OR(B760="",F760=""),"",F760-ROW()/100000)</f>
        <v/>
      </c>
      <c r="I760" s="0" t="str">
        <f aca="false">IF(H760="","",C760&amp;"|"&amp;(COUNTIFS($C$2:$C$1000,C760,$H$2:$H$1000,"&gt;"&amp;H760)+1))</f>
        <v/>
      </c>
    </row>
    <row r="761" customFormat="false" ht="15" hidden="false" customHeight="false" outlineLevel="0" collapsed="false">
      <c r="A761" s="8" t="str">
        <f aca="false">IF(F761="","",COUNTIF($F$2:$F$1000,"&gt;"&amp;F761)+1)</f>
        <v/>
      </c>
      <c r="B761" s="9"/>
      <c r="C761" s="10"/>
      <c r="D761" s="11" t="str">
        <f aca="false">IF(C761="","",IFERROR(INDEX(Summary!$B$2:$B$14,MATCH(C761,Summary!$A$2:$A$14,0)),"?"))</f>
        <v/>
      </c>
      <c r="E761" s="11" t="str">
        <f aca="false">IF(C761="","",IFERROR(INDEX(Summary!$C$2:$C$14,MATCH(C761,Summary!$A$2:$A$14,0)),"?"))</f>
        <v/>
      </c>
      <c r="F761" s="12"/>
      <c r="H761" s="0" t="str">
        <f aca="false">IF(OR(B761="",F761=""),"",F761-ROW()/100000)</f>
        <v/>
      </c>
      <c r="I761" s="0" t="str">
        <f aca="false">IF(H761="","",C761&amp;"|"&amp;(COUNTIFS($C$2:$C$1000,C761,$H$2:$H$1000,"&gt;"&amp;H761)+1))</f>
        <v/>
      </c>
    </row>
    <row r="762" customFormat="false" ht="15" hidden="false" customHeight="false" outlineLevel="0" collapsed="false">
      <c r="A762" s="8" t="str">
        <f aca="false">IF(F762="","",COUNTIF($F$2:$F$1000,"&gt;"&amp;F762)+1)</f>
        <v/>
      </c>
      <c r="B762" s="9"/>
      <c r="C762" s="10"/>
      <c r="D762" s="11" t="str">
        <f aca="false">IF(C762="","",IFERROR(INDEX(Summary!$B$2:$B$14,MATCH(C762,Summary!$A$2:$A$14,0)),"?"))</f>
        <v/>
      </c>
      <c r="E762" s="11" t="str">
        <f aca="false">IF(C762="","",IFERROR(INDEX(Summary!$C$2:$C$14,MATCH(C762,Summary!$A$2:$A$14,0)),"?"))</f>
        <v/>
      </c>
      <c r="F762" s="12"/>
      <c r="H762" s="0" t="str">
        <f aca="false">IF(OR(B762="",F762=""),"",F762-ROW()/100000)</f>
        <v/>
      </c>
      <c r="I762" s="0" t="str">
        <f aca="false">IF(H762="","",C762&amp;"|"&amp;(COUNTIFS($C$2:$C$1000,C762,$H$2:$H$1000,"&gt;"&amp;H762)+1))</f>
        <v/>
      </c>
    </row>
    <row r="763" customFormat="false" ht="15" hidden="false" customHeight="false" outlineLevel="0" collapsed="false">
      <c r="A763" s="8" t="str">
        <f aca="false">IF(F763="","",COUNTIF($F$2:$F$1000,"&gt;"&amp;F763)+1)</f>
        <v/>
      </c>
      <c r="B763" s="9"/>
      <c r="C763" s="10"/>
      <c r="D763" s="11" t="str">
        <f aca="false">IF(C763="","",IFERROR(INDEX(Summary!$B$2:$B$14,MATCH(C763,Summary!$A$2:$A$14,0)),"?"))</f>
        <v/>
      </c>
      <c r="E763" s="11" t="str">
        <f aca="false">IF(C763="","",IFERROR(INDEX(Summary!$C$2:$C$14,MATCH(C763,Summary!$A$2:$A$14,0)),"?"))</f>
        <v/>
      </c>
      <c r="F763" s="12"/>
      <c r="H763" s="0" t="str">
        <f aca="false">IF(OR(B763="",F763=""),"",F763-ROW()/100000)</f>
        <v/>
      </c>
      <c r="I763" s="0" t="str">
        <f aca="false">IF(H763="","",C763&amp;"|"&amp;(COUNTIFS($C$2:$C$1000,C763,$H$2:$H$1000,"&gt;"&amp;H763)+1))</f>
        <v/>
      </c>
    </row>
    <row r="764" customFormat="false" ht="15" hidden="false" customHeight="false" outlineLevel="0" collapsed="false">
      <c r="A764" s="8" t="str">
        <f aca="false">IF(F764="","",COUNTIF($F$2:$F$1000,"&gt;"&amp;F764)+1)</f>
        <v/>
      </c>
      <c r="B764" s="9"/>
      <c r="C764" s="10"/>
      <c r="D764" s="11" t="str">
        <f aca="false">IF(C764="","",IFERROR(INDEX(Summary!$B$2:$B$14,MATCH(C764,Summary!$A$2:$A$14,0)),"?"))</f>
        <v/>
      </c>
      <c r="E764" s="11" t="str">
        <f aca="false">IF(C764="","",IFERROR(INDEX(Summary!$C$2:$C$14,MATCH(C764,Summary!$A$2:$A$14,0)),"?"))</f>
        <v/>
      </c>
      <c r="F764" s="12"/>
      <c r="H764" s="0" t="str">
        <f aca="false">IF(OR(B764="",F764=""),"",F764-ROW()/100000)</f>
        <v/>
      </c>
      <c r="I764" s="0" t="str">
        <f aca="false">IF(H764="","",C764&amp;"|"&amp;(COUNTIFS($C$2:$C$1000,C764,$H$2:$H$1000,"&gt;"&amp;H764)+1))</f>
        <v/>
      </c>
    </row>
    <row r="765" customFormat="false" ht="15" hidden="false" customHeight="false" outlineLevel="0" collapsed="false">
      <c r="A765" s="8" t="str">
        <f aca="false">IF(F765="","",COUNTIF($F$2:$F$1000,"&gt;"&amp;F765)+1)</f>
        <v/>
      </c>
      <c r="B765" s="9"/>
      <c r="C765" s="10"/>
      <c r="D765" s="11" t="str">
        <f aca="false">IF(C765="","",IFERROR(INDEX(Summary!$B$2:$B$14,MATCH(C765,Summary!$A$2:$A$14,0)),"?"))</f>
        <v/>
      </c>
      <c r="E765" s="11" t="str">
        <f aca="false">IF(C765="","",IFERROR(INDEX(Summary!$C$2:$C$14,MATCH(C765,Summary!$A$2:$A$14,0)),"?"))</f>
        <v/>
      </c>
      <c r="F765" s="12"/>
      <c r="H765" s="0" t="str">
        <f aca="false">IF(OR(B765="",F765=""),"",F765-ROW()/100000)</f>
        <v/>
      </c>
      <c r="I765" s="0" t="str">
        <f aca="false">IF(H765="","",C765&amp;"|"&amp;(COUNTIFS($C$2:$C$1000,C765,$H$2:$H$1000,"&gt;"&amp;H765)+1))</f>
        <v/>
      </c>
    </row>
    <row r="766" customFormat="false" ht="15" hidden="false" customHeight="false" outlineLevel="0" collapsed="false">
      <c r="A766" s="8" t="str">
        <f aca="false">IF(F766="","",COUNTIF($F$2:$F$1000,"&gt;"&amp;F766)+1)</f>
        <v/>
      </c>
      <c r="B766" s="9"/>
      <c r="C766" s="10"/>
      <c r="D766" s="11" t="str">
        <f aca="false">IF(C766="","",IFERROR(INDEX(Summary!$B$2:$B$14,MATCH(C766,Summary!$A$2:$A$14,0)),"?"))</f>
        <v/>
      </c>
      <c r="E766" s="11" t="str">
        <f aca="false">IF(C766="","",IFERROR(INDEX(Summary!$C$2:$C$14,MATCH(C766,Summary!$A$2:$A$14,0)),"?"))</f>
        <v/>
      </c>
      <c r="F766" s="12"/>
      <c r="H766" s="0" t="str">
        <f aca="false">IF(OR(B766="",F766=""),"",F766-ROW()/100000)</f>
        <v/>
      </c>
      <c r="I766" s="0" t="str">
        <f aca="false">IF(H766="","",C766&amp;"|"&amp;(COUNTIFS($C$2:$C$1000,C766,$H$2:$H$1000,"&gt;"&amp;H766)+1))</f>
        <v/>
      </c>
    </row>
    <row r="767" customFormat="false" ht="15" hidden="false" customHeight="false" outlineLevel="0" collapsed="false">
      <c r="A767" s="8" t="str">
        <f aca="false">IF(F767="","",COUNTIF($F$2:$F$1000,"&gt;"&amp;F767)+1)</f>
        <v/>
      </c>
      <c r="B767" s="9"/>
      <c r="C767" s="10"/>
      <c r="D767" s="11" t="str">
        <f aca="false">IF(C767="","",IFERROR(INDEX(Summary!$B$2:$B$14,MATCH(C767,Summary!$A$2:$A$14,0)),"?"))</f>
        <v/>
      </c>
      <c r="E767" s="11" t="str">
        <f aca="false">IF(C767="","",IFERROR(INDEX(Summary!$C$2:$C$14,MATCH(C767,Summary!$A$2:$A$14,0)),"?"))</f>
        <v/>
      </c>
      <c r="F767" s="12"/>
      <c r="H767" s="0" t="str">
        <f aca="false">IF(OR(B767="",F767=""),"",F767-ROW()/100000)</f>
        <v/>
      </c>
      <c r="I767" s="0" t="str">
        <f aca="false">IF(H767="","",C767&amp;"|"&amp;(COUNTIFS($C$2:$C$1000,C767,$H$2:$H$1000,"&gt;"&amp;H767)+1))</f>
        <v/>
      </c>
    </row>
    <row r="768" customFormat="false" ht="15" hidden="false" customHeight="false" outlineLevel="0" collapsed="false">
      <c r="A768" s="8" t="str">
        <f aca="false">IF(F768="","",COUNTIF($F$2:$F$1000,"&gt;"&amp;F768)+1)</f>
        <v/>
      </c>
      <c r="B768" s="9"/>
      <c r="C768" s="10"/>
      <c r="D768" s="11" t="str">
        <f aca="false">IF(C768="","",IFERROR(INDEX(Summary!$B$2:$B$14,MATCH(C768,Summary!$A$2:$A$14,0)),"?"))</f>
        <v/>
      </c>
      <c r="E768" s="11" t="str">
        <f aca="false">IF(C768="","",IFERROR(INDEX(Summary!$C$2:$C$14,MATCH(C768,Summary!$A$2:$A$14,0)),"?"))</f>
        <v/>
      </c>
      <c r="F768" s="12"/>
      <c r="H768" s="0" t="str">
        <f aca="false">IF(OR(B768="",F768=""),"",F768-ROW()/100000)</f>
        <v/>
      </c>
      <c r="I768" s="0" t="str">
        <f aca="false">IF(H768="","",C768&amp;"|"&amp;(COUNTIFS($C$2:$C$1000,C768,$H$2:$H$1000,"&gt;"&amp;H768)+1))</f>
        <v/>
      </c>
    </row>
    <row r="769" customFormat="false" ht="15" hidden="false" customHeight="false" outlineLevel="0" collapsed="false">
      <c r="A769" s="8" t="str">
        <f aca="false">IF(F769="","",COUNTIF($F$2:$F$1000,"&gt;"&amp;F769)+1)</f>
        <v/>
      </c>
      <c r="B769" s="9"/>
      <c r="C769" s="10"/>
      <c r="D769" s="11" t="str">
        <f aca="false">IF(C769="","",IFERROR(INDEX(Summary!$B$2:$B$14,MATCH(C769,Summary!$A$2:$A$14,0)),"?"))</f>
        <v/>
      </c>
      <c r="E769" s="11" t="str">
        <f aca="false">IF(C769="","",IFERROR(INDEX(Summary!$C$2:$C$14,MATCH(C769,Summary!$A$2:$A$14,0)),"?"))</f>
        <v/>
      </c>
      <c r="F769" s="12"/>
      <c r="H769" s="0" t="str">
        <f aca="false">IF(OR(B769="",F769=""),"",F769-ROW()/100000)</f>
        <v/>
      </c>
      <c r="I769" s="0" t="str">
        <f aca="false">IF(H769="","",C769&amp;"|"&amp;(COUNTIFS($C$2:$C$1000,C769,$H$2:$H$1000,"&gt;"&amp;H769)+1))</f>
        <v/>
      </c>
    </row>
    <row r="770" customFormat="false" ht="15" hidden="false" customHeight="false" outlineLevel="0" collapsed="false">
      <c r="A770" s="8" t="str">
        <f aca="false">IF(F770="","",COUNTIF($F$2:$F$1000,"&gt;"&amp;F770)+1)</f>
        <v/>
      </c>
      <c r="B770" s="9"/>
      <c r="C770" s="10"/>
      <c r="D770" s="11" t="str">
        <f aca="false">IF(C770="","",IFERROR(INDEX(Summary!$B$2:$B$14,MATCH(C770,Summary!$A$2:$A$14,0)),"?"))</f>
        <v/>
      </c>
      <c r="E770" s="11" t="str">
        <f aca="false">IF(C770="","",IFERROR(INDEX(Summary!$C$2:$C$14,MATCH(C770,Summary!$A$2:$A$14,0)),"?"))</f>
        <v/>
      </c>
      <c r="F770" s="12"/>
      <c r="H770" s="0" t="str">
        <f aca="false">IF(OR(B770="",F770=""),"",F770-ROW()/100000)</f>
        <v/>
      </c>
      <c r="I770" s="0" t="str">
        <f aca="false">IF(H770="","",C770&amp;"|"&amp;(COUNTIFS($C$2:$C$1000,C770,$H$2:$H$1000,"&gt;"&amp;H770)+1))</f>
        <v/>
      </c>
    </row>
    <row r="771" customFormat="false" ht="15" hidden="false" customHeight="false" outlineLevel="0" collapsed="false">
      <c r="A771" s="8" t="str">
        <f aca="false">IF(F771="","",COUNTIF($F$2:$F$1000,"&gt;"&amp;F771)+1)</f>
        <v/>
      </c>
      <c r="B771" s="9"/>
      <c r="C771" s="10"/>
      <c r="D771" s="11" t="str">
        <f aca="false">IF(C771="","",IFERROR(INDEX(Summary!$B$2:$B$14,MATCH(C771,Summary!$A$2:$A$14,0)),"?"))</f>
        <v/>
      </c>
      <c r="E771" s="11" t="str">
        <f aca="false">IF(C771="","",IFERROR(INDEX(Summary!$C$2:$C$14,MATCH(C771,Summary!$A$2:$A$14,0)),"?"))</f>
        <v/>
      </c>
      <c r="F771" s="12"/>
      <c r="H771" s="0" t="str">
        <f aca="false">IF(OR(B771="",F771=""),"",F771-ROW()/100000)</f>
        <v/>
      </c>
      <c r="I771" s="0" t="str">
        <f aca="false">IF(H771="","",C771&amp;"|"&amp;(COUNTIFS($C$2:$C$1000,C771,$H$2:$H$1000,"&gt;"&amp;H771)+1))</f>
        <v/>
      </c>
    </row>
    <row r="772" customFormat="false" ht="15" hidden="false" customHeight="false" outlineLevel="0" collapsed="false">
      <c r="A772" s="8" t="str">
        <f aca="false">IF(F772="","",COUNTIF($F$2:$F$1000,"&gt;"&amp;F772)+1)</f>
        <v/>
      </c>
      <c r="B772" s="9"/>
      <c r="C772" s="10"/>
      <c r="D772" s="11" t="str">
        <f aca="false">IF(C772="","",IFERROR(INDEX(Summary!$B$2:$B$14,MATCH(C772,Summary!$A$2:$A$14,0)),"?"))</f>
        <v/>
      </c>
      <c r="E772" s="11" t="str">
        <f aca="false">IF(C772="","",IFERROR(INDEX(Summary!$C$2:$C$14,MATCH(C772,Summary!$A$2:$A$14,0)),"?"))</f>
        <v/>
      </c>
      <c r="F772" s="12"/>
      <c r="H772" s="0" t="str">
        <f aca="false">IF(OR(B772="",F772=""),"",F772-ROW()/100000)</f>
        <v/>
      </c>
      <c r="I772" s="0" t="str">
        <f aca="false">IF(H772="","",C772&amp;"|"&amp;(COUNTIFS($C$2:$C$1000,C772,$H$2:$H$1000,"&gt;"&amp;H772)+1))</f>
        <v/>
      </c>
    </row>
    <row r="773" customFormat="false" ht="15" hidden="false" customHeight="false" outlineLevel="0" collapsed="false">
      <c r="A773" s="8" t="str">
        <f aca="false">IF(F773="","",COUNTIF($F$2:$F$1000,"&gt;"&amp;F773)+1)</f>
        <v/>
      </c>
      <c r="B773" s="9"/>
      <c r="C773" s="10"/>
      <c r="D773" s="11" t="str">
        <f aca="false">IF(C773="","",IFERROR(INDEX(Summary!$B$2:$B$14,MATCH(C773,Summary!$A$2:$A$14,0)),"?"))</f>
        <v/>
      </c>
      <c r="E773" s="11" t="str">
        <f aca="false">IF(C773="","",IFERROR(INDEX(Summary!$C$2:$C$14,MATCH(C773,Summary!$A$2:$A$14,0)),"?"))</f>
        <v/>
      </c>
      <c r="F773" s="12"/>
      <c r="H773" s="0" t="str">
        <f aca="false">IF(OR(B773="",F773=""),"",F773-ROW()/100000)</f>
        <v/>
      </c>
      <c r="I773" s="0" t="str">
        <f aca="false">IF(H773="","",C773&amp;"|"&amp;(COUNTIFS($C$2:$C$1000,C773,$H$2:$H$1000,"&gt;"&amp;H773)+1))</f>
        <v/>
      </c>
    </row>
    <row r="774" customFormat="false" ht="15" hidden="false" customHeight="false" outlineLevel="0" collapsed="false">
      <c r="A774" s="8" t="str">
        <f aca="false">IF(F774="","",COUNTIF($F$2:$F$1000,"&gt;"&amp;F774)+1)</f>
        <v/>
      </c>
      <c r="B774" s="9"/>
      <c r="C774" s="10"/>
      <c r="D774" s="11" t="str">
        <f aca="false">IF(C774="","",IFERROR(INDEX(Summary!$B$2:$B$14,MATCH(C774,Summary!$A$2:$A$14,0)),"?"))</f>
        <v/>
      </c>
      <c r="E774" s="11" t="str">
        <f aca="false">IF(C774="","",IFERROR(INDEX(Summary!$C$2:$C$14,MATCH(C774,Summary!$A$2:$A$14,0)),"?"))</f>
        <v/>
      </c>
      <c r="F774" s="12"/>
      <c r="H774" s="0" t="str">
        <f aca="false">IF(OR(B774="",F774=""),"",F774-ROW()/100000)</f>
        <v/>
      </c>
      <c r="I774" s="0" t="str">
        <f aca="false">IF(H774="","",C774&amp;"|"&amp;(COUNTIFS($C$2:$C$1000,C774,$H$2:$H$1000,"&gt;"&amp;H774)+1))</f>
        <v/>
      </c>
    </row>
    <row r="775" customFormat="false" ht="15" hidden="false" customHeight="false" outlineLevel="0" collapsed="false">
      <c r="A775" s="8" t="str">
        <f aca="false">IF(F775="","",COUNTIF($F$2:$F$1000,"&gt;"&amp;F775)+1)</f>
        <v/>
      </c>
      <c r="B775" s="9"/>
      <c r="C775" s="10"/>
      <c r="D775" s="11" t="str">
        <f aca="false">IF(C775="","",IFERROR(INDEX(Summary!$B$2:$B$14,MATCH(C775,Summary!$A$2:$A$14,0)),"?"))</f>
        <v/>
      </c>
      <c r="E775" s="11" t="str">
        <f aca="false">IF(C775="","",IFERROR(INDEX(Summary!$C$2:$C$14,MATCH(C775,Summary!$A$2:$A$14,0)),"?"))</f>
        <v/>
      </c>
      <c r="F775" s="12"/>
      <c r="H775" s="0" t="str">
        <f aca="false">IF(OR(B775="",F775=""),"",F775-ROW()/100000)</f>
        <v/>
      </c>
      <c r="I775" s="0" t="str">
        <f aca="false">IF(H775="","",C775&amp;"|"&amp;(COUNTIFS($C$2:$C$1000,C775,$H$2:$H$1000,"&gt;"&amp;H775)+1))</f>
        <v/>
      </c>
    </row>
    <row r="776" customFormat="false" ht="15" hidden="false" customHeight="false" outlineLevel="0" collapsed="false">
      <c r="A776" s="8" t="str">
        <f aca="false">IF(F776="","",COUNTIF($F$2:$F$1000,"&gt;"&amp;F776)+1)</f>
        <v/>
      </c>
      <c r="B776" s="9"/>
      <c r="C776" s="10"/>
      <c r="D776" s="11" t="str">
        <f aca="false">IF(C776="","",IFERROR(INDEX(Summary!$B$2:$B$14,MATCH(C776,Summary!$A$2:$A$14,0)),"?"))</f>
        <v/>
      </c>
      <c r="E776" s="11" t="str">
        <f aca="false">IF(C776="","",IFERROR(INDEX(Summary!$C$2:$C$14,MATCH(C776,Summary!$A$2:$A$14,0)),"?"))</f>
        <v/>
      </c>
      <c r="F776" s="12"/>
      <c r="H776" s="0" t="str">
        <f aca="false">IF(OR(B776="",F776=""),"",F776-ROW()/100000)</f>
        <v/>
      </c>
      <c r="I776" s="0" t="str">
        <f aca="false">IF(H776="","",C776&amp;"|"&amp;(COUNTIFS($C$2:$C$1000,C776,$H$2:$H$1000,"&gt;"&amp;H776)+1))</f>
        <v/>
      </c>
    </row>
    <row r="777" customFormat="false" ht="15" hidden="false" customHeight="false" outlineLevel="0" collapsed="false">
      <c r="A777" s="8" t="str">
        <f aca="false">IF(F777="","",COUNTIF($F$2:$F$1000,"&gt;"&amp;F777)+1)</f>
        <v/>
      </c>
      <c r="B777" s="9"/>
      <c r="C777" s="10"/>
      <c r="D777" s="11" t="str">
        <f aca="false">IF(C777="","",IFERROR(INDEX(Summary!$B$2:$B$14,MATCH(C777,Summary!$A$2:$A$14,0)),"?"))</f>
        <v/>
      </c>
      <c r="E777" s="11" t="str">
        <f aca="false">IF(C777="","",IFERROR(INDEX(Summary!$C$2:$C$14,MATCH(C777,Summary!$A$2:$A$14,0)),"?"))</f>
        <v/>
      </c>
      <c r="F777" s="12"/>
      <c r="H777" s="0" t="str">
        <f aca="false">IF(OR(B777="",F777=""),"",F777-ROW()/100000)</f>
        <v/>
      </c>
      <c r="I777" s="0" t="str">
        <f aca="false">IF(H777="","",C777&amp;"|"&amp;(COUNTIFS($C$2:$C$1000,C777,$H$2:$H$1000,"&gt;"&amp;H777)+1))</f>
        <v/>
      </c>
    </row>
    <row r="778" customFormat="false" ht="15" hidden="false" customHeight="false" outlineLevel="0" collapsed="false">
      <c r="A778" s="8" t="str">
        <f aca="false">IF(F778="","",COUNTIF($F$2:$F$1000,"&gt;"&amp;F778)+1)</f>
        <v/>
      </c>
      <c r="B778" s="9"/>
      <c r="C778" s="10"/>
      <c r="D778" s="11" t="str">
        <f aca="false">IF(C778="","",IFERROR(INDEX(Summary!$B$2:$B$14,MATCH(C778,Summary!$A$2:$A$14,0)),"?"))</f>
        <v/>
      </c>
      <c r="E778" s="11" t="str">
        <f aca="false">IF(C778="","",IFERROR(INDEX(Summary!$C$2:$C$14,MATCH(C778,Summary!$A$2:$A$14,0)),"?"))</f>
        <v/>
      </c>
      <c r="F778" s="12"/>
      <c r="H778" s="0" t="str">
        <f aca="false">IF(OR(B778="",F778=""),"",F778-ROW()/100000)</f>
        <v/>
      </c>
      <c r="I778" s="0" t="str">
        <f aca="false">IF(H778="","",C778&amp;"|"&amp;(COUNTIFS($C$2:$C$1000,C778,$H$2:$H$1000,"&gt;"&amp;H778)+1))</f>
        <v/>
      </c>
    </row>
    <row r="779" customFormat="false" ht="15" hidden="false" customHeight="false" outlineLevel="0" collapsed="false">
      <c r="A779" s="8" t="str">
        <f aca="false">IF(F779="","",COUNTIF($F$2:$F$1000,"&gt;"&amp;F779)+1)</f>
        <v/>
      </c>
      <c r="B779" s="9"/>
      <c r="C779" s="10"/>
      <c r="D779" s="11" t="str">
        <f aca="false">IF(C779="","",IFERROR(INDEX(Summary!$B$2:$B$14,MATCH(C779,Summary!$A$2:$A$14,0)),"?"))</f>
        <v/>
      </c>
      <c r="E779" s="11" t="str">
        <f aca="false">IF(C779="","",IFERROR(INDEX(Summary!$C$2:$C$14,MATCH(C779,Summary!$A$2:$A$14,0)),"?"))</f>
        <v/>
      </c>
      <c r="F779" s="12"/>
      <c r="H779" s="0" t="str">
        <f aca="false">IF(OR(B779="",F779=""),"",F779-ROW()/100000)</f>
        <v/>
      </c>
      <c r="I779" s="0" t="str">
        <f aca="false">IF(H779="","",C779&amp;"|"&amp;(COUNTIFS($C$2:$C$1000,C779,$H$2:$H$1000,"&gt;"&amp;H779)+1))</f>
        <v/>
      </c>
    </row>
    <row r="780" customFormat="false" ht="15" hidden="false" customHeight="false" outlineLevel="0" collapsed="false">
      <c r="A780" s="8" t="str">
        <f aca="false">IF(F780="","",COUNTIF($F$2:$F$1000,"&gt;"&amp;F780)+1)</f>
        <v/>
      </c>
      <c r="B780" s="9"/>
      <c r="C780" s="10"/>
      <c r="D780" s="11" t="str">
        <f aca="false">IF(C780="","",IFERROR(INDEX(Summary!$B$2:$B$14,MATCH(C780,Summary!$A$2:$A$14,0)),"?"))</f>
        <v/>
      </c>
      <c r="E780" s="11" t="str">
        <f aca="false">IF(C780="","",IFERROR(INDEX(Summary!$C$2:$C$14,MATCH(C780,Summary!$A$2:$A$14,0)),"?"))</f>
        <v/>
      </c>
      <c r="F780" s="12"/>
      <c r="H780" s="0" t="str">
        <f aca="false">IF(OR(B780="",F780=""),"",F780-ROW()/100000)</f>
        <v/>
      </c>
      <c r="I780" s="0" t="str">
        <f aca="false">IF(H780="","",C780&amp;"|"&amp;(COUNTIFS($C$2:$C$1000,C780,$H$2:$H$1000,"&gt;"&amp;H780)+1))</f>
        <v/>
      </c>
    </row>
    <row r="781" customFormat="false" ht="15" hidden="false" customHeight="false" outlineLevel="0" collapsed="false">
      <c r="A781" s="8" t="str">
        <f aca="false">IF(F781="","",COUNTIF($F$2:$F$1000,"&gt;"&amp;F781)+1)</f>
        <v/>
      </c>
      <c r="B781" s="9"/>
      <c r="C781" s="10"/>
      <c r="D781" s="11" t="str">
        <f aca="false">IF(C781="","",IFERROR(INDEX(Summary!$B$2:$B$14,MATCH(C781,Summary!$A$2:$A$14,0)),"?"))</f>
        <v/>
      </c>
      <c r="E781" s="11" t="str">
        <f aca="false">IF(C781="","",IFERROR(INDEX(Summary!$C$2:$C$14,MATCH(C781,Summary!$A$2:$A$14,0)),"?"))</f>
        <v/>
      </c>
      <c r="F781" s="12"/>
      <c r="H781" s="0" t="str">
        <f aca="false">IF(OR(B781="",F781=""),"",F781-ROW()/100000)</f>
        <v/>
      </c>
      <c r="I781" s="0" t="str">
        <f aca="false">IF(H781="","",C781&amp;"|"&amp;(COUNTIFS($C$2:$C$1000,C781,$H$2:$H$1000,"&gt;"&amp;H781)+1))</f>
        <v/>
      </c>
    </row>
    <row r="782" customFormat="false" ht="15" hidden="false" customHeight="false" outlineLevel="0" collapsed="false">
      <c r="A782" s="8" t="str">
        <f aca="false">IF(F782="","",COUNTIF($F$2:$F$1000,"&gt;"&amp;F782)+1)</f>
        <v/>
      </c>
      <c r="B782" s="9"/>
      <c r="C782" s="10"/>
      <c r="D782" s="11" t="str">
        <f aca="false">IF(C782="","",IFERROR(INDEX(Summary!$B$2:$B$14,MATCH(C782,Summary!$A$2:$A$14,0)),"?"))</f>
        <v/>
      </c>
      <c r="E782" s="11" t="str">
        <f aca="false">IF(C782="","",IFERROR(INDEX(Summary!$C$2:$C$14,MATCH(C782,Summary!$A$2:$A$14,0)),"?"))</f>
        <v/>
      </c>
      <c r="F782" s="12"/>
      <c r="H782" s="0" t="str">
        <f aca="false">IF(OR(B782="",F782=""),"",F782-ROW()/100000)</f>
        <v/>
      </c>
      <c r="I782" s="0" t="str">
        <f aca="false">IF(H782="","",C782&amp;"|"&amp;(COUNTIFS($C$2:$C$1000,C782,$H$2:$H$1000,"&gt;"&amp;H782)+1))</f>
        <v/>
      </c>
    </row>
    <row r="783" customFormat="false" ht="15" hidden="false" customHeight="false" outlineLevel="0" collapsed="false">
      <c r="A783" s="8" t="str">
        <f aca="false">IF(F783="","",COUNTIF($F$2:$F$1000,"&gt;"&amp;F783)+1)</f>
        <v/>
      </c>
      <c r="B783" s="9"/>
      <c r="C783" s="10"/>
      <c r="D783" s="11" t="str">
        <f aca="false">IF(C783="","",IFERROR(INDEX(Summary!$B$2:$B$14,MATCH(C783,Summary!$A$2:$A$14,0)),"?"))</f>
        <v/>
      </c>
      <c r="E783" s="11" t="str">
        <f aca="false">IF(C783="","",IFERROR(INDEX(Summary!$C$2:$C$14,MATCH(C783,Summary!$A$2:$A$14,0)),"?"))</f>
        <v/>
      </c>
      <c r="F783" s="12"/>
      <c r="H783" s="0" t="str">
        <f aca="false">IF(OR(B783="",F783=""),"",F783-ROW()/100000)</f>
        <v/>
      </c>
      <c r="I783" s="0" t="str">
        <f aca="false">IF(H783="","",C783&amp;"|"&amp;(COUNTIFS($C$2:$C$1000,C783,$H$2:$H$1000,"&gt;"&amp;H783)+1))</f>
        <v/>
      </c>
    </row>
    <row r="784" customFormat="false" ht="15" hidden="false" customHeight="false" outlineLevel="0" collapsed="false">
      <c r="A784" s="8" t="str">
        <f aca="false">IF(F784="","",COUNTIF($F$2:$F$1000,"&gt;"&amp;F784)+1)</f>
        <v/>
      </c>
      <c r="B784" s="9"/>
      <c r="C784" s="10"/>
      <c r="D784" s="11" t="str">
        <f aca="false">IF(C784="","",IFERROR(INDEX(Summary!$B$2:$B$14,MATCH(C784,Summary!$A$2:$A$14,0)),"?"))</f>
        <v/>
      </c>
      <c r="E784" s="11" t="str">
        <f aca="false">IF(C784="","",IFERROR(INDEX(Summary!$C$2:$C$14,MATCH(C784,Summary!$A$2:$A$14,0)),"?"))</f>
        <v/>
      </c>
      <c r="F784" s="12"/>
      <c r="H784" s="0" t="str">
        <f aca="false">IF(OR(B784="",F784=""),"",F784-ROW()/100000)</f>
        <v/>
      </c>
      <c r="I784" s="0" t="str">
        <f aca="false">IF(H784="","",C784&amp;"|"&amp;(COUNTIFS($C$2:$C$1000,C784,$H$2:$H$1000,"&gt;"&amp;H784)+1))</f>
        <v/>
      </c>
    </row>
    <row r="785" customFormat="false" ht="15" hidden="false" customHeight="false" outlineLevel="0" collapsed="false">
      <c r="A785" s="8" t="str">
        <f aca="false">IF(F785="","",COUNTIF($F$2:$F$1000,"&gt;"&amp;F785)+1)</f>
        <v/>
      </c>
      <c r="B785" s="9"/>
      <c r="C785" s="10"/>
      <c r="D785" s="11" t="str">
        <f aca="false">IF(C785="","",IFERROR(INDEX(Summary!$B$2:$B$14,MATCH(C785,Summary!$A$2:$A$14,0)),"?"))</f>
        <v/>
      </c>
      <c r="E785" s="11" t="str">
        <f aca="false">IF(C785="","",IFERROR(INDEX(Summary!$C$2:$C$14,MATCH(C785,Summary!$A$2:$A$14,0)),"?"))</f>
        <v/>
      </c>
      <c r="F785" s="12"/>
      <c r="H785" s="0" t="str">
        <f aca="false">IF(OR(B785="",F785=""),"",F785-ROW()/100000)</f>
        <v/>
      </c>
      <c r="I785" s="0" t="str">
        <f aca="false">IF(H785="","",C785&amp;"|"&amp;(COUNTIFS($C$2:$C$1000,C785,$H$2:$H$1000,"&gt;"&amp;H785)+1))</f>
        <v/>
      </c>
    </row>
    <row r="786" customFormat="false" ht="15" hidden="false" customHeight="false" outlineLevel="0" collapsed="false">
      <c r="A786" s="8" t="str">
        <f aca="false">IF(F786="","",COUNTIF($F$2:$F$1000,"&gt;"&amp;F786)+1)</f>
        <v/>
      </c>
      <c r="B786" s="9"/>
      <c r="C786" s="10"/>
      <c r="D786" s="11" t="str">
        <f aca="false">IF(C786="","",IFERROR(INDEX(Summary!$B$2:$B$14,MATCH(C786,Summary!$A$2:$A$14,0)),"?"))</f>
        <v/>
      </c>
      <c r="E786" s="11" t="str">
        <f aca="false">IF(C786="","",IFERROR(INDEX(Summary!$C$2:$C$14,MATCH(C786,Summary!$A$2:$A$14,0)),"?"))</f>
        <v/>
      </c>
      <c r="F786" s="12"/>
      <c r="H786" s="0" t="str">
        <f aca="false">IF(OR(B786="",F786=""),"",F786-ROW()/100000)</f>
        <v/>
      </c>
      <c r="I786" s="0" t="str">
        <f aca="false">IF(H786="","",C786&amp;"|"&amp;(COUNTIFS($C$2:$C$1000,C786,$H$2:$H$1000,"&gt;"&amp;H786)+1))</f>
        <v/>
      </c>
    </row>
    <row r="787" customFormat="false" ht="15" hidden="false" customHeight="false" outlineLevel="0" collapsed="false">
      <c r="A787" s="8" t="str">
        <f aca="false">IF(F787="","",COUNTIF($F$2:$F$1000,"&gt;"&amp;F787)+1)</f>
        <v/>
      </c>
      <c r="B787" s="9"/>
      <c r="C787" s="10"/>
      <c r="D787" s="11" t="str">
        <f aca="false">IF(C787="","",IFERROR(INDEX(Summary!$B$2:$B$14,MATCH(C787,Summary!$A$2:$A$14,0)),"?"))</f>
        <v/>
      </c>
      <c r="E787" s="11" t="str">
        <f aca="false">IF(C787="","",IFERROR(INDEX(Summary!$C$2:$C$14,MATCH(C787,Summary!$A$2:$A$14,0)),"?"))</f>
        <v/>
      </c>
      <c r="F787" s="12"/>
      <c r="H787" s="0" t="str">
        <f aca="false">IF(OR(B787="",F787=""),"",F787-ROW()/100000)</f>
        <v/>
      </c>
      <c r="I787" s="0" t="str">
        <f aca="false">IF(H787="","",C787&amp;"|"&amp;(COUNTIFS($C$2:$C$1000,C787,$H$2:$H$1000,"&gt;"&amp;H787)+1))</f>
        <v/>
      </c>
    </row>
    <row r="788" customFormat="false" ht="15" hidden="false" customHeight="false" outlineLevel="0" collapsed="false">
      <c r="A788" s="8" t="str">
        <f aca="false">IF(F788="","",COUNTIF($F$2:$F$1000,"&gt;"&amp;F788)+1)</f>
        <v/>
      </c>
      <c r="B788" s="9"/>
      <c r="C788" s="10"/>
      <c r="D788" s="11" t="str">
        <f aca="false">IF(C788="","",IFERROR(INDEX(Summary!$B$2:$B$14,MATCH(C788,Summary!$A$2:$A$14,0)),"?"))</f>
        <v/>
      </c>
      <c r="E788" s="11" t="str">
        <f aca="false">IF(C788="","",IFERROR(INDEX(Summary!$C$2:$C$14,MATCH(C788,Summary!$A$2:$A$14,0)),"?"))</f>
        <v/>
      </c>
      <c r="F788" s="12"/>
      <c r="H788" s="0" t="str">
        <f aca="false">IF(OR(B788="",F788=""),"",F788-ROW()/100000)</f>
        <v/>
      </c>
      <c r="I788" s="0" t="str">
        <f aca="false">IF(H788="","",C788&amp;"|"&amp;(COUNTIFS($C$2:$C$1000,C788,$H$2:$H$1000,"&gt;"&amp;H788)+1))</f>
        <v/>
      </c>
    </row>
    <row r="789" customFormat="false" ht="15" hidden="false" customHeight="false" outlineLevel="0" collapsed="false">
      <c r="A789" s="8" t="str">
        <f aca="false">IF(F789="","",COUNTIF($F$2:$F$1000,"&gt;"&amp;F789)+1)</f>
        <v/>
      </c>
      <c r="B789" s="9"/>
      <c r="C789" s="10"/>
      <c r="D789" s="11" t="str">
        <f aca="false">IF(C789="","",IFERROR(INDEX(Summary!$B$2:$B$14,MATCH(C789,Summary!$A$2:$A$14,0)),"?"))</f>
        <v/>
      </c>
      <c r="E789" s="11" t="str">
        <f aca="false">IF(C789="","",IFERROR(INDEX(Summary!$C$2:$C$14,MATCH(C789,Summary!$A$2:$A$14,0)),"?"))</f>
        <v/>
      </c>
      <c r="F789" s="12"/>
      <c r="H789" s="0" t="str">
        <f aca="false">IF(OR(B789="",F789=""),"",F789-ROW()/100000)</f>
        <v/>
      </c>
      <c r="I789" s="0" t="str">
        <f aca="false">IF(H789="","",C789&amp;"|"&amp;(COUNTIFS($C$2:$C$1000,C789,$H$2:$H$1000,"&gt;"&amp;H789)+1))</f>
        <v/>
      </c>
    </row>
    <row r="790" customFormat="false" ht="15" hidden="false" customHeight="false" outlineLevel="0" collapsed="false">
      <c r="A790" s="8" t="str">
        <f aca="false">IF(F790="","",COUNTIF($F$2:$F$1000,"&gt;"&amp;F790)+1)</f>
        <v/>
      </c>
      <c r="B790" s="9"/>
      <c r="C790" s="10"/>
      <c r="D790" s="11" t="str">
        <f aca="false">IF(C790="","",IFERROR(INDEX(Summary!$B$2:$B$14,MATCH(C790,Summary!$A$2:$A$14,0)),"?"))</f>
        <v/>
      </c>
      <c r="E790" s="11" t="str">
        <f aca="false">IF(C790="","",IFERROR(INDEX(Summary!$C$2:$C$14,MATCH(C790,Summary!$A$2:$A$14,0)),"?"))</f>
        <v/>
      </c>
      <c r="F790" s="12"/>
      <c r="H790" s="0" t="str">
        <f aca="false">IF(OR(B790="",F790=""),"",F790-ROW()/100000)</f>
        <v/>
      </c>
      <c r="I790" s="0" t="str">
        <f aca="false">IF(H790="","",C790&amp;"|"&amp;(COUNTIFS($C$2:$C$1000,C790,$H$2:$H$1000,"&gt;"&amp;H790)+1))</f>
        <v/>
      </c>
    </row>
    <row r="791" customFormat="false" ht="15" hidden="false" customHeight="false" outlineLevel="0" collapsed="false">
      <c r="A791" s="8" t="str">
        <f aca="false">IF(F791="","",COUNTIF($F$2:$F$1000,"&gt;"&amp;F791)+1)</f>
        <v/>
      </c>
      <c r="B791" s="9"/>
      <c r="C791" s="10"/>
      <c r="D791" s="11" t="str">
        <f aca="false">IF(C791="","",IFERROR(INDEX(Summary!$B$2:$B$14,MATCH(C791,Summary!$A$2:$A$14,0)),"?"))</f>
        <v/>
      </c>
      <c r="E791" s="11" t="str">
        <f aca="false">IF(C791="","",IFERROR(INDEX(Summary!$C$2:$C$14,MATCH(C791,Summary!$A$2:$A$14,0)),"?"))</f>
        <v/>
      </c>
      <c r="F791" s="12"/>
      <c r="H791" s="0" t="str">
        <f aca="false">IF(OR(B791="",F791=""),"",F791-ROW()/100000)</f>
        <v/>
      </c>
      <c r="I791" s="0" t="str">
        <f aca="false">IF(H791="","",C791&amp;"|"&amp;(COUNTIFS($C$2:$C$1000,C791,$H$2:$H$1000,"&gt;"&amp;H791)+1))</f>
        <v/>
      </c>
    </row>
    <row r="792" customFormat="false" ht="15" hidden="false" customHeight="false" outlineLevel="0" collapsed="false">
      <c r="A792" s="8" t="str">
        <f aca="false">IF(F792="","",COUNTIF($F$2:$F$1000,"&gt;"&amp;F792)+1)</f>
        <v/>
      </c>
      <c r="B792" s="9"/>
      <c r="C792" s="10"/>
      <c r="D792" s="11" t="str">
        <f aca="false">IF(C792="","",IFERROR(INDEX(Summary!$B$2:$B$14,MATCH(C792,Summary!$A$2:$A$14,0)),"?"))</f>
        <v/>
      </c>
      <c r="E792" s="11" t="str">
        <f aca="false">IF(C792="","",IFERROR(INDEX(Summary!$C$2:$C$14,MATCH(C792,Summary!$A$2:$A$14,0)),"?"))</f>
        <v/>
      </c>
      <c r="F792" s="12"/>
      <c r="H792" s="0" t="str">
        <f aca="false">IF(OR(B792="",F792=""),"",F792-ROW()/100000)</f>
        <v/>
      </c>
      <c r="I792" s="0" t="str">
        <f aca="false">IF(H792="","",C792&amp;"|"&amp;(COUNTIFS($C$2:$C$1000,C792,$H$2:$H$1000,"&gt;"&amp;H792)+1))</f>
        <v/>
      </c>
    </row>
    <row r="793" customFormat="false" ht="15" hidden="false" customHeight="false" outlineLevel="0" collapsed="false">
      <c r="A793" s="8" t="str">
        <f aca="false">IF(F793="","",COUNTIF($F$2:$F$1000,"&gt;"&amp;F793)+1)</f>
        <v/>
      </c>
      <c r="B793" s="9"/>
      <c r="C793" s="10"/>
      <c r="D793" s="11" t="str">
        <f aca="false">IF(C793="","",IFERROR(INDEX(Summary!$B$2:$B$14,MATCH(C793,Summary!$A$2:$A$14,0)),"?"))</f>
        <v/>
      </c>
      <c r="E793" s="11" t="str">
        <f aca="false">IF(C793="","",IFERROR(INDEX(Summary!$C$2:$C$14,MATCH(C793,Summary!$A$2:$A$14,0)),"?"))</f>
        <v/>
      </c>
      <c r="F793" s="12"/>
      <c r="H793" s="0" t="str">
        <f aca="false">IF(OR(B793="",F793=""),"",F793-ROW()/100000)</f>
        <v/>
      </c>
      <c r="I793" s="0" t="str">
        <f aca="false">IF(H793="","",C793&amp;"|"&amp;(COUNTIFS($C$2:$C$1000,C793,$H$2:$H$1000,"&gt;"&amp;H793)+1))</f>
        <v/>
      </c>
    </row>
    <row r="794" customFormat="false" ht="15" hidden="false" customHeight="false" outlineLevel="0" collapsed="false">
      <c r="A794" s="8" t="str">
        <f aca="false">IF(F794="","",COUNTIF($F$2:$F$1000,"&gt;"&amp;F794)+1)</f>
        <v/>
      </c>
      <c r="B794" s="9"/>
      <c r="C794" s="10"/>
      <c r="D794" s="11" t="str">
        <f aca="false">IF(C794="","",IFERROR(INDEX(Summary!$B$2:$B$14,MATCH(C794,Summary!$A$2:$A$14,0)),"?"))</f>
        <v/>
      </c>
      <c r="E794" s="11" t="str">
        <f aca="false">IF(C794="","",IFERROR(INDEX(Summary!$C$2:$C$14,MATCH(C794,Summary!$A$2:$A$14,0)),"?"))</f>
        <v/>
      </c>
      <c r="F794" s="12"/>
      <c r="H794" s="0" t="str">
        <f aca="false">IF(OR(B794="",F794=""),"",F794-ROW()/100000)</f>
        <v/>
      </c>
      <c r="I794" s="0" t="str">
        <f aca="false">IF(H794="","",C794&amp;"|"&amp;(COUNTIFS($C$2:$C$1000,C794,$H$2:$H$1000,"&gt;"&amp;H794)+1))</f>
        <v/>
      </c>
    </row>
    <row r="795" customFormat="false" ht="15" hidden="false" customHeight="false" outlineLevel="0" collapsed="false">
      <c r="A795" s="8" t="str">
        <f aca="false">IF(F795="","",COUNTIF($F$2:$F$1000,"&gt;"&amp;F795)+1)</f>
        <v/>
      </c>
      <c r="B795" s="9"/>
      <c r="C795" s="10"/>
      <c r="D795" s="11" t="str">
        <f aca="false">IF(C795="","",IFERROR(INDEX(Summary!$B$2:$B$14,MATCH(C795,Summary!$A$2:$A$14,0)),"?"))</f>
        <v/>
      </c>
      <c r="E795" s="11" t="str">
        <f aca="false">IF(C795="","",IFERROR(INDEX(Summary!$C$2:$C$14,MATCH(C795,Summary!$A$2:$A$14,0)),"?"))</f>
        <v/>
      </c>
      <c r="F795" s="12"/>
      <c r="H795" s="0" t="str">
        <f aca="false">IF(OR(B795="",F795=""),"",F795-ROW()/100000)</f>
        <v/>
      </c>
      <c r="I795" s="0" t="str">
        <f aca="false">IF(H795="","",C795&amp;"|"&amp;(COUNTIFS($C$2:$C$1000,C795,$H$2:$H$1000,"&gt;"&amp;H795)+1))</f>
        <v/>
      </c>
    </row>
    <row r="796" customFormat="false" ht="15" hidden="false" customHeight="false" outlineLevel="0" collapsed="false">
      <c r="A796" s="8" t="str">
        <f aca="false">IF(F796="","",COUNTIF($F$2:$F$1000,"&gt;"&amp;F796)+1)</f>
        <v/>
      </c>
      <c r="B796" s="9"/>
      <c r="C796" s="10"/>
      <c r="D796" s="11" t="str">
        <f aca="false">IF(C796="","",IFERROR(INDEX(Summary!$B$2:$B$14,MATCH(C796,Summary!$A$2:$A$14,0)),"?"))</f>
        <v/>
      </c>
      <c r="E796" s="11" t="str">
        <f aca="false">IF(C796="","",IFERROR(INDEX(Summary!$C$2:$C$14,MATCH(C796,Summary!$A$2:$A$14,0)),"?"))</f>
        <v/>
      </c>
      <c r="F796" s="12"/>
      <c r="H796" s="0" t="str">
        <f aca="false">IF(OR(B796="",F796=""),"",F796-ROW()/100000)</f>
        <v/>
      </c>
      <c r="I796" s="0" t="str">
        <f aca="false">IF(H796="","",C796&amp;"|"&amp;(COUNTIFS($C$2:$C$1000,C796,$H$2:$H$1000,"&gt;"&amp;H796)+1))</f>
        <v/>
      </c>
    </row>
    <row r="797" customFormat="false" ht="15" hidden="false" customHeight="false" outlineLevel="0" collapsed="false">
      <c r="A797" s="8" t="str">
        <f aca="false">IF(F797="","",COUNTIF($F$2:$F$1000,"&gt;"&amp;F797)+1)</f>
        <v/>
      </c>
      <c r="B797" s="9"/>
      <c r="C797" s="10"/>
      <c r="D797" s="11" t="str">
        <f aca="false">IF(C797="","",IFERROR(INDEX(Summary!$B$2:$B$14,MATCH(C797,Summary!$A$2:$A$14,0)),"?"))</f>
        <v/>
      </c>
      <c r="E797" s="11" t="str">
        <f aca="false">IF(C797="","",IFERROR(INDEX(Summary!$C$2:$C$14,MATCH(C797,Summary!$A$2:$A$14,0)),"?"))</f>
        <v/>
      </c>
      <c r="F797" s="12"/>
      <c r="H797" s="0" t="str">
        <f aca="false">IF(OR(B797="",F797=""),"",F797-ROW()/100000)</f>
        <v/>
      </c>
      <c r="I797" s="0" t="str">
        <f aca="false">IF(H797="","",C797&amp;"|"&amp;(COUNTIFS($C$2:$C$1000,C797,$H$2:$H$1000,"&gt;"&amp;H797)+1))</f>
        <v/>
      </c>
    </row>
    <row r="798" customFormat="false" ht="15" hidden="false" customHeight="false" outlineLevel="0" collapsed="false">
      <c r="A798" s="8" t="str">
        <f aca="false">IF(F798="","",COUNTIF($F$2:$F$1000,"&gt;"&amp;F798)+1)</f>
        <v/>
      </c>
      <c r="B798" s="9"/>
      <c r="C798" s="10"/>
      <c r="D798" s="11" t="str">
        <f aca="false">IF(C798="","",IFERROR(INDEX(Summary!$B$2:$B$14,MATCH(C798,Summary!$A$2:$A$14,0)),"?"))</f>
        <v/>
      </c>
      <c r="E798" s="11" t="str">
        <f aca="false">IF(C798="","",IFERROR(INDEX(Summary!$C$2:$C$14,MATCH(C798,Summary!$A$2:$A$14,0)),"?"))</f>
        <v/>
      </c>
      <c r="F798" s="12"/>
      <c r="H798" s="0" t="str">
        <f aca="false">IF(OR(B798="",F798=""),"",F798-ROW()/100000)</f>
        <v/>
      </c>
      <c r="I798" s="0" t="str">
        <f aca="false">IF(H798="","",C798&amp;"|"&amp;(COUNTIFS($C$2:$C$1000,C798,$H$2:$H$1000,"&gt;"&amp;H798)+1))</f>
        <v/>
      </c>
    </row>
    <row r="799" customFormat="false" ht="15" hidden="false" customHeight="false" outlineLevel="0" collapsed="false">
      <c r="A799" s="8" t="str">
        <f aca="false">IF(F799="","",COUNTIF($F$2:$F$1000,"&gt;"&amp;F799)+1)</f>
        <v/>
      </c>
      <c r="B799" s="9"/>
      <c r="C799" s="10"/>
      <c r="D799" s="11" t="str">
        <f aca="false">IF(C799="","",IFERROR(INDEX(Summary!$B$2:$B$14,MATCH(C799,Summary!$A$2:$A$14,0)),"?"))</f>
        <v/>
      </c>
      <c r="E799" s="11" t="str">
        <f aca="false">IF(C799="","",IFERROR(INDEX(Summary!$C$2:$C$14,MATCH(C799,Summary!$A$2:$A$14,0)),"?"))</f>
        <v/>
      </c>
      <c r="F799" s="12"/>
      <c r="H799" s="0" t="str">
        <f aca="false">IF(OR(B799="",F799=""),"",F799-ROW()/100000)</f>
        <v/>
      </c>
      <c r="I799" s="0" t="str">
        <f aca="false">IF(H799="","",C799&amp;"|"&amp;(COUNTIFS($C$2:$C$1000,C799,$H$2:$H$1000,"&gt;"&amp;H799)+1))</f>
        <v/>
      </c>
    </row>
    <row r="800" customFormat="false" ht="15" hidden="false" customHeight="false" outlineLevel="0" collapsed="false">
      <c r="A800" s="8" t="str">
        <f aca="false">IF(F800="","",COUNTIF($F$2:$F$1000,"&gt;"&amp;F800)+1)</f>
        <v/>
      </c>
      <c r="B800" s="9"/>
      <c r="C800" s="10"/>
      <c r="D800" s="11" t="str">
        <f aca="false">IF(C800="","",IFERROR(INDEX(Summary!$B$2:$B$14,MATCH(C800,Summary!$A$2:$A$14,0)),"?"))</f>
        <v/>
      </c>
      <c r="E800" s="11" t="str">
        <f aca="false">IF(C800="","",IFERROR(INDEX(Summary!$C$2:$C$14,MATCH(C800,Summary!$A$2:$A$14,0)),"?"))</f>
        <v/>
      </c>
      <c r="F800" s="12"/>
      <c r="H800" s="0" t="str">
        <f aca="false">IF(OR(B800="",F800=""),"",F800-ROW()/100000)</f>
        <v/>
      </c>
      <c r="I800" s="0" t="str">
        <f aca="false">IF(H800="","",C800&amp;"|"&amp;(COUNTIFS($C$2:$C$1000,C800,$H$2:$H$1000,"&gt;"&amp;H800)+1))</f>
        <v/>
      </c>
    </row>
    <row r="801" customFormat="false" ht="15" hidden="false" customHeight="false" outlineLevel="0" collapsed="false">
      <c r="A801" s="8" t="str">
        <f aca="false">IF(F801="","",COUNTIF($F$2:$F$1000,"&gt;"&amp;F801)+1)</f>
        <v/>
      </c>
      <c r="B801" s="9"/>
      <c r="C801" s="10"/>
      <c r="D801" s="11" t="str">
        <f aca="false">IF(C801="","",IFERROR(INDEX(Summary!$B$2:$B$14,MATCH(C801,Summary!$A$2:$A$14,0)),"?"))</f>
        <v/>
      </c>
      <c r="E801" s="11" t="str">
        <f aca="false">IF(C801="","",IFERROR(INDEX(Summary!$C$2:$C$14,MATCH(C801,Summary!$A$2:$A$14,0)),"?"))</f>
        <v/>
      </c>
      <c r="F801" s="12"/>
      <c r="H801" s="0" t="str">
        <f aca="false">IF(OR(B801="",F801=""),"",F801-ROW()/100000)</f>
        <v/>
      </c>
      <c r="I801" s="0" t="str">
        <f aca="false">IF(H801="","",C801&amp;"|"&amp;(COUNTIFS($C$2:$C$1000,C801,$H$2:$H$1000,"&gt;"&amp;H801)+1))</f>
        <v/>
      </c>
    </row>
    <row r="802" customFormat="false" ht="15" hidden="false" customHeight="false" outlineLevel="0" collapsed="false">
      <c r="A802" s="8" t="str">
        <f aca="false">IF(F802="","",COUNTIF($F$2:$F$1000,"&gt;"&amp;F802)+1)</f>
        <v/>
      </c>
      <c r="B802" s="9"/>
      <c r="C802" s="10"/>
      <c r="D802" s="11" t="str">
        <f aca="false">IF(C802="","",IFERROR(INDEX(Summary!$B$2:$B$14,MATCH(C802,Summary!$A$2:$A$14,0)),"?"))</f>
        <v/>
      </c>
      <c r="E802" s="11" t="str">
        <f aca="false">IF(C802="","",IFERROR(INDEX(Summary!$C$2:$C$14,MATCH(C802,Summary!$A$2:$A$14,0)),"?"))</f>
        <v/>
      </c>
      <c r="F802" s="12"/>
      <c r="H802" s="0" t="str">
        <f aca="false">IF(OR(B802="",F802=""),"",F802-ROW()/100000)</f>
        <v/>
      </c>
      <c r="I802" s="0" t="str">
        <f aca="false">IF(H802="","",C802&amp;"|"&amp;(COUNTIFS($C$2:$C$1000,C802,$H$2:$H$1000,"&gt;"&amp;H802)+1))</f>
        <v/>
      </c>
    </row>
    <row r="803" customFormat="false" ht="15" hidden="false" customHeight="false" outlineLevel="0" collapsed="false">
      <c r="A803" s="8" t="str">
        <f aca="false">IF(F803="","",COUNTIF($F$2:$F$1000,"&gt;"&amp;F803)+1)</f>
        <v/>
      </c>
      <c r="B803" s="9"/>
      <c r="C803" s="10"/>
      <c r="D803" s="11" t="str">
        <f aca="false">IF(C803="","",IFERROR(INDEX(Summary!$B$2:$B$14,MATCH(C803,Summary!$A$2:$A$14,0)),"?"))</f>
        <v/>
      </c>
      <c r="E803" s="11" t="str">
        <f aca="false">IF(C803="","",IFERROR(INDEX(Summary!$C$2:$C$14,MATCH(C803,Summary!$A$2:$A$14,0)),"?"))</f>
        <v/>
      </c>
      <c r="F803" s="12"/>
      <c r="H803" s="0" t="str">
        <f aca="false">IF(OR(B803="",F803=""),"",F803-ROW()/100000)</f>
        <v/>
      </c>
      <c r="I803" s="0" t="str">
        <f aca="false">IF(H803="","",C803&amp;"|"&amp;(COUNTIFS($C$2:$C$1000,C803,$H$2:$H$1000,"&gt;"&amp;H803)+1))</f>
        <v/>
      </c>
    </row>
    <row r="804" customFormat="false" ht="15" hidden="false" customHeight="false" outlineLevel="0" collapsed="false">
      <c r="A804" s="8" t="str">
        <f aca="false">IF(F804="","",COUNTIF($F$2:$F$1000,"&gt;"&amp;F804)+1)</f>
        <v/>
      </c>
      <c r="B804" s="9"/>
      <c r="C804" s="10"/>
      <c r="D804" s="11" t="str">
        <f aca="false">IF(C804="","",IFERROR(INDEX(Summary!$B$2:$B$14,MATCH(C804,Summary!$A$2:$A$14,0)),"?"))</f>
        <v/>
      </c>
      <c r="E804" s="11" t="str">
        <f aca="false">IF(C804="","",IFERROR(INDEX(Summary!$C$2:$C$14,MATCH(C804,Summary!$A$2:$A$14,0)),"?"))</f>
        <v/>
      </c>
      <c r="F804" s="12"/>
      <c r="H804" s="0" t="str">
        <f aca="false">IF(OR(B804="",F804=""),"",F804-ROW()/100000)</f>
        <v/>
      </c>
      <c r="I804" s="0" t="str">
        <f aca="false">IF(H804="","",C804&amp;"|"&amp;(COUNTIFS($C$2:$C$1000,C804,$H$2:$H$1000,"&gt;"&amp;H804)+1))</f>
        <v/>
      </c>
    </row>
    <row r="805" customFormat="false" ht="15" hidden="false" customHeight="false" outlineLevel="0" collapsed="false">
      <c r="A805" s="8" t="str">
        <f aca="false">IF(F805="","",COUNTIF($F$2:$F$1000,"&gt;"&amp;F805)+1)</f>
        <v/>
      </c>
      <c r="B805" s="9"/>
      <c r="C805" s="10"/>
      <c r="D805" s="11" t="str">
        <f aca="false">IF(C805="","",IFERROR(INDEX(Summary!$B$2:$B$14,MATCH(C805,Summary!$A$2:$A$14,0)),"?"))</f>
        <v/>
      </c>
      <c r="E805" s="11" t="str">
        <f aca="false">IF(C805="","",IFERROR(INDEX(Summary!$C$2:$C$14,MATCH(C805,Summary!$A$2:$A$14,0)),"?"))</f>
        <v/>
      </c>
      <c r="F805" s="12"/>
      <c r="H805" s="0" t="str">
        <f aca="false">IF(OR(B805="",F805=""),"",F805-ROW()/100000)</f>
        <v/>
      </c>
      <c r="I805" s="0" t="str">
        <f aca="false">IF(H805="","",C805&amp;"|"&amp;(COUNTIFS($C$2:$C$1000,C805,$H$2:$H$1000,"&gt;"&amp;H805)+1))</f>
        <v/>
      </c>
    </row>
    <row r="806" customFormat="false" ht="15" hidden="false" customHeight="false" outlineLevel="0" collapsed="false">
      <c r="A806" s="8" t="str">
        <f aca="false">IF(F806="","",COUNTIF($F$2:$F$1000,"&gt;"&amp;F806)+1)</f>
        <v/>
      </c>
      <c r="B806" s="9"/>
      <c r="C806" s="10"/>
      <c r="D806" s="11" t="str">
        <f aca="false">IF(C806="","",IFERROR(INDEX(Summary!$B$2:$B$14,MATCH(C806,Summary!$A$2:$A$14,0)),"?"))</f>
        <v/>
      </c>
      <c r="E806" s="11" t="str">
        <f aca="false">IF(C806="","",IFERROR(INDEX(Summary!$C$2:$C$14,MATCH(C806,Summary!$A$2:$A$14,0)),"?"))</f>
        <v/>
      </c>
      <c r="F806" s="12"/>
      <c r="H806" s="0" t="str">
        <f aca="false">IF(OR(B806="",F806=""),"",F806-ROW()/100000)</f>
        <v/>
      </c>
      <c r="I806" s="0" t="str">
        <f aca="false">IF(H806="","",C806&amp;"|"&amp;(COUNTIFS($C$2:$C$1000,C806,$H$2:$H$1000,"&gt;"&amp;H806)+1))</f>
        <v/>
      </c>
    </row>
    <row r="807" customFormat="false" ht="15" hidden="false" customHeight="false" outlineLevel="0" collapsed="false">
      <c r="A807" s="8" t="str">
        <f aca="false">IF(F807="","",COUNTIF($F$2:$F$1000,"&gt;"&amp;F807)+1)</f>
        <v/>
      </c>
      <c r="B807" s="9"/>
      <c r="C807" s="10"/>
      <c r="D807" s="11" t="str">
        <f aca="false">IF(C807="","",IFERROR(INDEX(Summary!$B$2:$B$14,MATCH(C807,Summary!$A$2:$A$14,0)),"?"))</f>
        <v/>
      </c>
      <c r="E807" s="11" t="str">
        <f aca="false">IF(C807="","",IFERROR(INDEX(Summary!$C$2:$C$14,MATCH(C807,Summary!$A$2:$A$14,0)),"?"))</f>
        <v/>
      </c>
      <c r="F807" s="12"/>
      <c r="H807" s="0" t="str">
        <f aca="false">IF(OR(B807="",F807=""),"",F807-ROW()/100000)</f>
        <v/>
      </c>
      <c r="I807" s="0" t="str">
        <f aca="false">IF(H807="","",C807&amp;"|"&amp;(COUNTIFS($C$2:$C$1000,C807,$H$2:$H$1000,"&gt;"&amp;H807)+1))</f>
        <v/>
      </c>
    </row>
    <row r="808" customFormat="false" ht="15" hidden="false" customHeight="false" outlineLevel="0" collapsed="false">
      <c r="A808" s="8" t="str">
        <f aca="false">IF(F808="","",COUNTIF($F$2:$F$1000,"&gt;"&amp;F808)+1)</f>
        <v/>
      </c>
      <c r="B808" s="9"/>
      <c r="C808" s="10"/>
      <c r="D808" s="11" t="str">
        <f aca="false">IF(C808="","",IFERROR(INDEX(Summary!$B$2:$B$14,MATCH(C808,Summary!$A$2:$A$14,0)),"?"))</f>
        <v/>
      </c>
      <c r="E808" s="11" t="str">
        <f aca="false">IF(C808="","",IFERROR(INDEX(Summary!$C$2:$C$14,MATCH(C808,Summary!$A$2:$A$14,0)),"?"))</f>
        <v/>
      </c>
      <c r="F808" s="12"/>
      <c r="H808" s="0" t="str">
        <f aca="false">IF(OR(B808="",F808=""),"",F808-ROW()/100000)</f>
        <v/>
      </c>
      <c r="I808" s="0" t="str">
        <f aca="false">IF(H808="","",C808&amp;"|"&amp;(COUNTIFS($C$2:$C$1000,C808,$H$2:$H$1000,"&gt;"&amp;H808)+1))</f>
        <v/>
      </c>
    </row>
    <row r="809" customFormat="false" ht="15" hidden="false" customHeight="false" outlineLevel="0" collapsed="false">
      <c r="A809" s="8" t="str">
        <f aca="false">IF(F809="","",COUNTIF($F$2:$F$1000,"&gt;"&amp;F809)+1)</f>
        <v/>
      </c>
      <c r="B809" s="9"/>
      <c r="C809" s="10"/>
      <c r="D809" s="11" t="str">
        <f aca="false">IF(C809="","",IFERROR(INDEX(Summary!$B$2:$B$14,MATCH(C809,Summary!$A$2:$A$14,0)),"?"))</f>
        <v/>
      </c>
      <c r="E809" s="11" t="str">
        <f aca="false">IF(C809="","",IFERROR(INDEX(Summary!$C$2:$C$14,MATCH(C809,Summary!$A$2:$A$14,0)),"?"))</f>
        <v/>
      </c>
      <c r="F809" s="12"/>
      <c r="H809" s="0" t="str">
        <f aca="false">IF(OR(B809="",F809=""),"",F809-ROW()/100000)</f>
        <v/>
      </c>
      <c r="I809" s="0" t="str">
        <f aca="false">IF(H809="","",C809&amp;"|"&amp;(COUNTIFS($C$2:$C$1000,C809,$H$2:$H$1000,"&gt;"&amp;H809)+1))</f>
        <v/>
      </c>
    </row>
    <row r="810" customFormat="false" ht="15" hidden="false" customHeight="false" outlineLevel="0" collapsed="false">
      <c r="A810" s="8" t="str">
        <f aca="false">IF(F810="","",COUNTIF($F$2:$F$1000,"&gt;"&amp;F810)+1)</f>
        <v/>
      </c>
      <c r="B810" s="9"/>
      <c r="C810" s="10"/>
      <c r="D810" s="11" t="str">
        <f aca="false">IF(C810="","",IFERROR(INDEX(Summary!$B$2:$B$14,MATCH(C810,Summary!$A$2:$A$14,0)),"?"))</f>
        <v/>
      </c>
      <c r="E810" s="11" t="str">
        <f aca="false">IF(C810="","",IFERROR(INDEX(Summary!$C$2:$C$14,MATCH(C810,Summary!$A$2:$A$14,0)),"?"))</f>
        <v/>
      </c>
      <c r="F810" s="12"/>
      <c r="H810" s="0" t="str">
        <f aca="false">IF(OR(B810="",F810=""),"",F810-ROW()/100000)</f>
        <v/>
      </c>
      <c r="I810" s="0" t="str">
        <f aca="false">IF(H810="","",C810&amp;"|"&amp;(COUNTIFS($C$2:$C$1000,C810,$H$2:$H$1000,"&gt;"&amp;H810)+1))</f>
        <v/>
      </c>
    </row>
    <row r="811" customFormat="false" ht="15" hidden="false" customHeight="false" outlineLevel="0" collapsed="false">
      <c r="A811" s="8" t="str">
        <f aca="false">IF(F811="","",COUNTIF($F$2:$F$1000,"&gt;"&amp;F811)+1)</f>
        <v/>
      </c>
      <c r="B811" s="9"/>
      <c r="C811" s="10"/>
      <c r="D811" s="11" t="str">
        <f aca="false">IF(C811="","",IFERROR(INDEX(Summary!$B$2:$B$14,MATCH(C811,Summary!$A$2:$A$14,0)),"?"))</f>
        <v/>
      </c>
      <c r="E811" s="11" t="str">
        <f aca="false">IF(C811="","",IFERROR(INDEX(Summary!$C$2:$C$14,MATCH(C811,Summary!$A$2:$A$14,0)),"?"))</f>
        <v/>
      </c>
      <c r="F811" s="12"/>
      <c r="H811" s="0" t="str">
        <f aca="false">IF(OR(B811="",F811=""),"",F811-ROW()/100000)</f>
        <v/>
      </c>
      <c r="I811" s="0" t="str">
        <f aca="false">IF(H811="","",C811&amp;"|"&amp;(COUNTIFS($C$2:$C$1000,C811,$H$2:$H$1000,"&gt;"&amp;H811)+1))</f>
        <v/>
      </c>
    </row>
    <row r="812" customFormat="false" ht="15" hidden="false" customHeight="false" outlineLevel="0" collapsed="false">
      <c r="A812" s="8" t="str">
        <f aca="false">IF(F812="","",COUNTIF($F$2:$F$1000,"&gt;"&amp;F812)+1)</f>
        <v/>
      </c>
      <c r="B812" s="9"/>
      <c r="C812" s="10"/>
      <c r="D812" s="11" t="str">
        <f aca="false">IF(C812="","",IFERROR(INDEX(Summary!$B$2:$B$14,MATCH(C812,Summary!$A$2:$A$14,0)),"?"))</f>
        <v/>
      </c>
      <c r="E812" s="11" t="str">
        <f aca="false">IF(C812="","",IFERROR(INDEX(Summary!$C$2:$C$14,MATCH(C812,Summary!$A$2:$A$14,0)),"?"))</f>
        <v/>
      </c>
      <c r="F812" s="12"/>
      <c r="H812" s="0" t="str">
        <f aca="false">IF(OR(B812="",F812=""),"",F812-ROW()/100000)</f>
        <v/>
      </c>
      <c r="I812" s="0" t="str">
        <f aca="false">IF(H812="","",C812&amp;"|"&amp;(COUNTIFS($C$2:$C$1000,C812,$H$2:$H$1000,"&gt;"&amp;H812)+1))</f>
        <v/>
      </c>
    </row>
    <row r="813" customFormat="false" ht="15" hidden="false" customHeight="false" outlineLevel="0" collapsed="false">
      <c r="A813" s="8" t="str">
        <f aca="false">IF(F813="","",COUNTIF($F$2:$F$1000,"&gt;"&amp;F813)+1)</f>
        <v/>
      </c>
      <c r="B813" s="9"/>
      <c r="C813" s="10"/>
      <c r="D813" s="11" t="str">
        <f aca="false">IF(C813="","",IFERROR(INDEX(Summary!$B$2:$B$14,MATCH(C813,Summary!$A$2:$A$14,0)),"?"))</f>
        <v/>
      </c>
      <c r="E813" s="11" t="str">
        <f aca="false">IF(C813="","",IFERROR(INDEX(Summary!$C$2:$C$14,MATCH(C813,Summary!$A$2:$A$14,0)),"?"))</f>
        <v/>
      </c>
      <c r="F813" s="12"/>
      <c r="H813" s="0" t="str">
        <f aca="false">IF(OR(B813="",F813=""),"",F813-ROW()/100000)</f>
        <v/>
      </c>
      <c r="I813" s="0" t="str">
        <f aca="false">IF(H813="","",C813&amp;"|"&amp;(COUNTIFS($C$2:$C$1000,C813,$H$2:$H$1000,"&gt;"&amp;H813)+1))</f>
        <v/>
      </c>
    </row>
    <row r="814" customFormat="false" ht="15" hidden="false" customHeight="false" outlineLevel="0" collapsed="false">
      <c r="A814" s="8" t="str">
        <f aca="false">IF(F814="","",COUNTIF($F$2:$F$1000,"&gt;"&amp;F814)+1)</f>
        <v/>
      </c>
      <c r="B814" s="9"/>
      <c r="C814" s="10"/>
      <c r="D814" s="11" t="str">
        <f aca="false">IF(C814="","",IFERROR(INDEX(Summary!$B$2:$B$14,MATCH(C814,Summary!$A$2:$A$14,0)),"?"))</f>
        <v/>
      </c>
      <c r="E814" s="11" t="str">
        <f aca="false">IF(C814="","",IFERROR(INDEX(Summary!$C$2:$C$14,MATCH(C814,Summary!$A$2:$A$14,0)),"?"))</f>
        <v/>
      </c>
      <c r="F814" s="12"/>
      <c r="H814" s="0" t="str">
        <f aca="false">IF(OR(B814="",F814=""),"",F814-ROW()/100000)</f>
        <v/>
      </c>
      <c r="I814" s="0" t="str">
        <f aca="false">IF(H814="","",C814&amp;"|"&amp;(COUNTIFS($C$2:$C$1000,C814,$H$2:$H$1000,"&gt;"&amp;H814)+1))</f>
        <v/>
      </c>
    </row>
    <row r="815" customFormat="false" ht="15" hidden="false" customHeight="false" outlineLevel="0" collapsed="false">
      <c r="A815" s="8" t="str">
        <f aca="false">IF(F815="","",COUNTIF($F$2:$F$1000,"&gt;"&amp;F815)+1)</f>
        <v/>
      </c>
      <c r="B815" s="9"/>
      <c r="C815" s="10"/>
      <c r="D815" s="11" t="str">
        <f aca="false">IF(C815="","",IFERROR(INDEX(Summary!$B$2:$B$14,MATCH(C815,Summary!$A$2:$A$14,0)),"?"))</f>
        <v/>
      </c>
      <c r="E815" s="11" t="str">
        <f aca="false">IF(C815="","",IFERROR(INDEX(Summary!$C$2:$C$14,MATCH(C815,Summary!$A$2:$A$14,0)),"?"))</f>
        <v/>
      </c>
      <c r="F815" s="12"/>
      <c r="H815" s="0" t="str">
        <f aca="false">IF(OR(B815="",F815=""),"",F815-ROW()/100000)</f>
        <v/>
      </c>
      <c r="I815" s="0" t="str">
        <f aca="false">IF(H815="","",C815&amp;"|"&amp;(COUNTIFS($C$2:$C$1000,C815,$H$2:$H$1000,"&gt;"&amp;H815)+1))</f>
        <v/>
      </c>
    </row>
    <row r="816" customFormat="false" ht="15" hidden="false" customHeight="false" outlineLevel="0" collapsed="false">
      <c r="A816" s="8" t="str">
        <f aca="false">IF(F816="","",COUNTIF($F$2:$F$1000,"&gt;"&amp;F816)+1)</f>
        <v/>
      </c>
      <c r="B816" s="9"/>
      <c r="C816" s="10"/>
      <c r="D816" s="11" t="str">
        <f aca="false">IF(C816="","",IFERROR(INDEX(Summary!$B$2:$B$14,MATCH(C816,Summary!$A$2:$A$14,0)),"?"))</f>
        <v/>
      </c>
      <c r="E816" s="11" t="str">
        <f aca="false">IF(C816="","",IFERROR(INDEX(Summary!$C$2:$C$14,MATCH(C816,Summary!$A$2:$A$14,0)),"?"))</f>
        <v/>
      </c>
      <c r="F816" s="12"/>
      <c r="H816" s="0" t="str">
        <f aca="false">IF(OR(B816="",F816=""),"",F816-ROW()/100000)</f>
        <v/>
      </c>
      <c r="I816" s="0" t="str">
        <f aca="false">IF(H816="","",C816&amp;"|"&amp;(COUNTIFS($C$2:$C$1000,C816,$H$2:$H$1000,"&gt;"&amp;H816)+1))</f>
        <v/>
      </c>
    </row>
    <row r="817" customFormat="false" ht="15" hidden="false" customHeight="false" outlineLevel="0" collapsed="false">
      <c r="A817" s="8" t="str">
        <f aca="false">IF(F817="","",COUNTIF($F$2:$F$1000,"&gt;"&amp;F817)+1)</f>
        <v/>
      </c>
      <c r="B817" s="9"/>
      <c r="C817" s="10"/>
      <c r="D817" s="11" t="str">
        <f aca="false">IF(C817="","",IFERROR(INDEX(Summary!$B$2:$B$14,MATCH(C817,Summary!$A$2:$A$14,0)),"?"))</f>
        <v/>
      </c>
      <c r="E817" s="11" t="str">
        <f aca="false">IF(C817="","",IFERROR(INDEX(Summary!$C$2:$C$14,MATCH(C817,Summary!$A$2:$A$14,0)),"?"))</f>
        <v/>
      </c>
      <c r="F817" s="12"/>
      <c r="H817" s="0" t="str">
        <f aca="false">IF(OR(B817="",F817=""),"",F817-ROW()/100000)</f>
        <v/>
      </c>
      <c r="I817" s="0" t="str">
        <f aca="false">IF(H817="","",C817&amp;"|"&amp;(COUNTIFS($C$2:$C$1000,C817,$H$2:$H$1000,"&gt;"&amp;H817)+1))</f>
        <v/>
      </c>
    </row>
    <row r="818" customFormat="false" ht="15" hidden="false" customHeight="false" outlineLevel="0" collapsed="false">
      <c r="A818" s="8" t="str">
        <f aca="false">IF(F818="","",COUNTIF($F$2:$F$1000,"&gt;"&amp;F818)+1)</f>
        <v/>
      </c>
      <c r="B818" s="9"/>
      <c r="C818" s="10"/>
      <c r="D818" s="11" t="str">
        <f aca="false">IF(C818="","",IFERROR(INDEX(Summary!$B$2:$B$14,MATCH(C818,Summary!$A$2:$A$14,0)),"?"))</f>
        <v/>
      </c>
      <c r="E818" s="11" t="str">
        <f aca="false">IF(C818="","",IFERROR(INDEX(Summary!$C$2:$C$14,MATCH(C818,Summary!$A$2:$A$14,0)),"?"))</f>
        <v/>
      </c>
      <c r="F818" s="12"/>
      <c r="H818" s="0" t="str">
        <f aca="false">IF(OR(B818="",F818=""),"",F818-ROW()/100000)</f>
        <v/>
      </c>
      <c r="I818" s="0" t="str">
        <f aca="false">IF(H818="","",C818&amp;"|"&amp;(COUNTIFS($C$2:$C$1000,C818,$H$2:$H$1000,"&gt;"&amp;H818)+1))</f>
        <v/>
      </c>
    </row>
    <row r="819" customFormat="false" ht="15" hidden="false" customHeight="false" outlineLevel="0" collapsed="false">
      <c r="A819" s="8" t="str">
        <f aca="false">IF(F819="","",COUNTIF($F$2:$F$1000,"&gt;"&amp;F819)+1)</f>
        <v/>
      </c>
      <c r="B819" s="9"/>
      <c r="C819" s="10"/>
      <c r="D819" s="11" t="str">
        <f aca="false">IF(C819="","",IFERROR(INDEX(Summary!$B$2:$B$14,MATCH(C819,Summary!$A$2:$A$14,0)),"?"))</f>
        <v/>
      </c>
      <c r="E819" s="11" t="str">
        <f aca="false">IF(C819="","",IFERROR(INDEX(Summary!$C$2:$C$14,MATCH(C819,Summary!$A$2:$A$14,0)),"?"))</f>
        <v/>
      </c>
      <c r="F819" s="12"/>
      <c r="H819" s="0" t="str">
        <f aca="false">IF(OR(B819="",F819=""),"",F819-ROW()/100000)</f>
        <v/>
      </c>
      <c r="I819" s="0" t="str">
        <f aca="false">IF(H819="","",C819&amp;"|"&amp;(COUNTIFS($C$2:$C$1000,C819,$H$2:$H$1000,"&gt;"&amp;H819)+1))</f>
        <v/>
      </c>
    </row>
    <row r="820" customFormat="false" ht="15" hidden="false" customHeight="false" outlineLevel="0" collapsed="false">
      <c r="A820" s="8" t="str">
        <f aca="false">IF(F820="","",COUNTIF($F$2:$F$1000,"&gt;"&amp;F820)+1)</f>
        <v/>
      </c>
      <c r="B820" s="9"/>
      <c r="C820" s="10"/>
      <c r="D820" s="11" t="str">
        <f aca="false">IF(C820="","",IFERROR(INDEX(Summary!$B$2:$B$14,MATCH(C820,Summary!$A$2:$A$14,0)),"?"))</f>
        <v/>
      </c>
      <c r="E820" s="11" t="str">
        <f aca="false">IF(C820="","",IFERROR(INDEX(Summary!$C$2:$C$14,MATCH(C820,Summary!$A$2:$A$14,0)),"?"))</f>
        <v/>
      </c>
      <c r="F820" s="12"/>
      <c r="H820" s="0" t="str">
        <f aca="false">IF(OR(B820="",F820=""),"",F820-ROW()/100000)</f>
        <v/>
      </c>
      <c r="I820" s="0" t="str">
        <f aca="false">IF(H820="","",C820&amp;"|"&amp;(COUNTIFS($C$2:$C$1000,C820,$H$2:$H$1000,"&gt;"&amp;H820)+1))</f>
        <v/>
      </c>
    </row>
    <row r="821" customFormat="false" ht="15" hidden="false" customHeight="false" outlineLevel="0" collapsed="false">
      <c r="A821" s="8" t="str">
        <f aca="false">IF(F821="","",COUNTIF($F$2:$F$1000,"&gt;"&amp;F821)+1)</f>
        <v/>
      </c>
      <c r="B821" s="9"/>
      <c r="C821" s="10"/>
      <c r="D821" s="11" t="str">
        <f aca="false">IF(C821="","",IFERROR(INDEX(Summary!$B$2:$B$14,MATCH(C821,Summary!$A$2:$A$14,0)),"?"))</f>
        <v/>
      </c>
      <c r="E821" s="11" t="str">
        <f aca="false">IF(C821="","",IFERROR(INDEX(Summary!$C$2:$C$14,MATCH(C821,Summary!$A$2:$A$14,0)),"?"))</f>
        <v/>
      </c>
      <c r="F821" s="12"/>
      <c r="H821" s="0" t="str">
        <f aca="false">IF(OR(B821="",F821=""),"",F821-ROW()/100000)</f>
        <v/>
      </c>
      <c r="I821" s="0" t="str">
        <f aca="false">IF(H821="","",C821&amp;"|"&amp;(COUNTIFS($C$2:$C$1000,C821,$H$2:$H$1000,"&gt;"&amp;H821)+1))</f>
        <v/>
      </c>
    </row>
    <row r="822" customFormat="false" ht="15" hidden="false" customHeight="false" outlineLevel="0" collapsed="false">
      <c r="A822" s="8" t="str">
        <f aca="false">IF(F822="","",COUNTIF($F$2:$F$1000,"&gt;"&amp;F822)+1)</f>
        <v/>
      </c>
      <c r="B822" s="9"/>
      <c r="C822" s="10"/>
      <c r="D822" s="11" t="str">
        <f aca="false">IF(C822="","",IFERROR(INDEX(Summary!$B$2:$B$14,MATCH(C822,Summary!$A$2:$A$14,0)),"?"))</f>
        <v/>
      </c>
      <c r="E822" s="11" t="str">
        <f aca="false">IF(C822="","",IFERROR(INDEX(Summary!$C$2:$C$14,MATCH(C822,Summary!$A$2:$A$14,0)),"?"))</f>
        <v/>
      </c>
      <c r="F822" s="12"/>
      <c r="H822" s="0" t="str">
        <f aca="false">IF(OR(B822="",F822=""),"",F822-ROW()/100000)</f>
        <v/>
      </c>
      <c r="I822" s="0" t="str">
        <f aca="false">IF(H822="","",C822&amp;"|"&amp;(COUNTIFS($C$2:$C$1000,C822,$H$2:$H$1000,"&gt;"&amp;H822)+1))</f>
        <v/>
      </c>
    </row>
    <row r="823" customFormat="false" ht="15" hidden="false" customHeight="false" outlineLevel="0" collapsed="false">
      <c r="A823" s="8" t="str">
        <f aca="false">IF(F823="","",COUNTIF($F$2:$F$1000,"&gt;"&amp;F823)+1)</f>
        <v/>
      </c>
      <c r="B823" s="9"/>
      <c r="C823" s="10"/>
      <c r="D823" s="11" t="str">
        <f aca="false">IF(C823="","",IFERROR(INDEX(Summary!$B$2:$B$14,MATCH(C823,Summary!$A$2:$A$14,0)),"?"))</f>
        <v/>
      </c>
      <c r="E823" s="11" t="str">
        <f aca="false">IF(C823="","",IFERROR(INDEX(Summary!$C$2:$C$14,MATCH(C823,Summary!$A$2:$A$14,0)),"?"))</f>
        <v/>
      </c>
      <c r="F823" s="12"/>
      <c r="H823" s="0" t="str">
        <f aca="false">IF(OR(B823="",F823=""),"",F823-ROW()/100000)</f>
        <v/>
      </c>
      <c r="I823" s="0" t="str">
        <f aca="false">IF(H823="","",C823&amp;"|"&amp;(COUNTIFS($C$2:$C$1000,C823,$H$2:$H$1000,"&gt;"&amp;H823)+1))</f>
        <v/>
      </c>
    </row>
    <row r="824" customFormat="false" ht="15" hidden="false" customHeight="false" outlineLevel="0" collapsed="false">
      <c r="A824" s="8" t="str">
        <f aca="false">IF(F824="","",COUNTIF($F$2:$F$1000,"&gt;"&amp;F824)+1)</f>
        <v/>
      </c>
      <c r="B824" s="9"/>
      <c r="C824" s="10"/>
      <c r="D824" s="11" t="str">
        <f aca="false">IF(C824="","",IFERROR(INDEX(Summary!$B$2:$B$14,MATCH(C824,Summary!$A$2:$A$14,0)),"?"))</f>
        <v/>
      </c>
      <c r="E824" s="11" t="str">
        <f aca="false">IF(C824="","",IFERROR(INDEX(Summary!$C$2:$C$14,MATCH(C824,Summary!$A$2:$A$14,0)),"?"))</f>
        <v/>
      </c>
      <c r="F824" s="12"/>
      <c r="H824" s="0" t="str">
        <f aca="false">IF(OR(B824="",F824=""),"",F824-ROW()/100000)</f>
        <v/>
      </c>
      <c r="I824" s="0" t="str">
        <f aca="false">IF(H824="","",C824&amp;"|"&amp;(COUNTIFS($C$2:$C$1000,C824,$H$2:$H$1000,"&gt;"&amp;H824)+1))</f>
        <v/>
      </c>
    </row>
    <row r="825" customFormat="false" ht="15" hidden="false" customHeight="false" outlineLevel="0" collapsed="false">
      <c r="A825" s="8" t="str">
        <f aca="false">IF(F825="","",COUNTIF($F$2:$F$1000,"&gt;"&amp;F825)+1)</f>
        <v/>
      </c>
      <c r="B825" s="9"/>
      <c r="C825" s="10"/>
      <c r="D825" s="11" t="str">
        <f aca="false">IF(C825="","",IFERROR(INDEX(Summary!$B$2:$B$14,MATCH(C825,Summary!$A$2:$A$14,0)),"?"))</f>
        <v/>
      </c>
      <c r="E825" s="11" t="str">
        <f aca="false">IF(C825="","",IFERROR(INDEX(Summary!$C$2:$C$14,MATCH(C825,Summary!$A$2:$A$14,0)),"?"))</f>
        <v/>
      </c>
      <c r="F825" s="12"/>
      <c r="H825" s="0" t="str">
        <f aca="false">IF(OR(B825="",F825=""),"",F825-ROW()/100000)</f>
        <v/>
      </c>
      <c r="I825" s="0" t="str">
        <f aca="false">IF(H825="","",C825&amp;"|"&amp;(COUNTIFS($C$2:$C$1000,C825,$H$2:$H$1000,"&gt;"&amp;H825)+1))</f>
        <v/>
      </c>
    </row>
    <row r="826" customFormat="false" ht="15" hidden="false" customHeight="false" outlineLevel="0" collapsed="false">
      <c r="A826" s="8" t="str">
        <f aca="false">IF(F826="","",COUNTIF($F$2:$F$1000,"&gt;"&amp;F826)+1)</f>
        <v/>
      </c>
      <c r="B826" s="9"/>
      <c r="C826" s="10"/>
      <c r="D826" s="11" t="str">
        <f aca="false">IF(C826="","",IFERROR(INDEX(Summary!$B$2:$B$14,MATCH(C826,Summary!$A$2:$A$14,0)),"?"))</f>
        <v/>
      </c>
      <c r="E826" s="11" t="str">
        <f aca="false">IF(C826="","",IFERROR(INDEX(Summary!$C$2:$C$14,MATCH(C826,Summary!$A$2:$A$14,0)),"?"))</f>
        <v/>
      </c>
      <c r="F826" s="12"/>
      <c r="H826" s="0" t="str">
        <f aca="false">IF(OR(B826="",F826=""),"",F826-ROW()/100000)</f>
        <v/>
      </c>
      <c r="I826" s="0" t="str">
        <f aca="false">IF(H826="","",C826&amp;"|"&amp;(COUNTIFS($C$2:$C$1000,C826,$H$2:$H$1000,"&gt;"&amp;H826)+1))</f>
        <v/>
      </c>
    </row>
    <row r="827" customFormat="false" ht="15" hidden="false" customHeight="false" outlineLevel="0" collapsed="false">
      <c r="A827" s="8" t="str">
        <f aca="false">IF(F827="","",COUNTIF($F$2:$F$1000,"&gt;"&amp;F827)+1)</f>
        <v/>
      </c>
      <c r="B827" s="9"/>
      <c r="C827" s="10"/>
      <c r="D827" s="11" t="str">
        <f aca="false">IF(C827="","",IFERROR(INDEX(Summary!$B$2:$B$14,MATCH(C827,Summary!$A$2:$A$14,0)),"?"))</f>
        <v/>
      </c>
      <c r="E827" s="11" t="str">
        <f aca="false">IF(C827="","",IFERROR(INDEX(Summary!$C$2:$C$14,MATCH(C827,Summary!$A$2:$A$14,0)),"?"))</f>
        <v/>
      </c>
      <c r="F827" s="12"/>
      <c r="H827" s="0" t="str">
        <f aca="false">IF(OR(B827="",F827=""),"",F827-ROW()/100000)</f>
        <v/>
      </c>
      <c r="I827" s="0" t="str">
        <f aca="false">IF(H827="","",C827&amp;"|"&amp;(COUNTIFS($C$2:$C$1000,C827,$H$2:$H$1000,"&gt;"&amp;H827)+1))</f>
        <v/>
      </c>
    </row>
    <row r="828" customFormat="false" ht="15" hidden="false" customHeight="false" outlineLevel="0" collapsed="false">
      <c r="A828" s="8" t="str">
        <f aca="false">IF(F828="","",COUNTIF($F$2:$F$1000,"&gt;"&amp;F828)+1)</f>
        <v/>
      </c>
      <c r="B828" s="9"/>
      <c r="C828" s="10"/>
      <c r="D828" s="11" t="str">
        <f aca="false">IF(C828="","",IFERROR(INDEX(Summary!$B$2:$B$14,MATCH(C828,Summary!$A$2:$A$14,0)),"?"))</f>
        <v/>
      </c>
      <c r="E828" s="11" t="str">
        <f aca="false">IF(C828="","",IFERROR(INDEX(Summary!$C$2:$C$14,MATCH(C828,Summary!$A$2:$A$14,0)),"?"))</f>
        <v/>
      </c>
      <c r="F828" s="12"/>
      <c r="H828" s="0" t="str">
        <f aca="false">IF(OR(B828="",F828=""),"",F828-ROW()/100000)</f>
        <v/>
      </c>
      <c r="I828" s="0" t="str">
        <f aca="false">IF(H828="","",C828&amp;"|"&amp;(COUNTIFS($C$2:$C$1000,C828,$H$2:$H$1000,"&gt;"&amp;H828)+1))</f>
        <v/>
      </c>
    </row>
    <row r="829" customFormat="false" ht="15" hidden="false" customHeight="false" outlineLevel="0" collapsed="false">
      <c r="A829" s="8" t="str">
        <f aca="false">IF(F829="","",COUNTIF($F$2:$F$1000,"&gt;"&amp;F829)+1)</f>
        <v/>
      </c>
      <c r="B829" s="9"/>
      <c r="C829" s="10"/>
      <c r="D829" s="11" t="str">
        <f aca="false">IF(C829="","",IFERROR(INDEX(Summary!$B$2:$B$14,MATCH(C829,Summary!$A$2:$A$14,0)),"?"))</f>
        <v/>
      </c>
      <c r="E829" s="11" t="str">
        <f aca="false">IF(C829="","",IFERROR(INDEX(Summary!$C$2:$C$14,MATCH(C829,Summary!$A$2:$A$14,0)),"?"))</f>
        <v/>
      </c>
      <c r="F829" s="12"/>
      <c r="H829" s="0" t="str">
        <f aca="false">IF(OR(B829="",F829=""),"",F829-ROW()/100000)</f>
        <v/>
      </c>
      <c r="I829" s="0" t="str">
        <f aca="false">IF(H829="","",C829&amp;"|"&amp;(COUNTIFS($C$2:$C$1000,C829,$H$2:$H$1000,"&gt;"&amp;H829)+1))</f>
        <v/>
      </c>
    </row>
    <row r="830" customFormat="false" ht="15" hidden="false" customHeight="false" outlineLevel="0" collapsed="false">
      <c r="A830" s="8" t="str">
        <f aca="false">IF(F830="","",COUNTIF($F$2:$F$1000,"&gt;"&amp;F830)+1)</f>
        <v/>
      </c>
      <c r="B830" s="9"/>
      <c r="C830" s="10"/>
      <c r="D830" s="11" t="str">
        <f aca="false">IF(C830="","",IFERROR(INDEX(Summary!$B$2:$B$14,MATCH(C830,Summary!$A$2:$A$14,0)),"?"))</f>
        <v/>
      </c>
      <c r="E830" s="11" t="str">
        <f aca="false">IF(C830="","",IFERROR(INDEX(Summary!$C$2:$C$14,MATCH(C830,Summary!$A$2:$A$14,0)),"?"))</f>
        <v/>
      </c>
      <c r="F830" s="12"/>
      <c r="H830" s="0" t="str">
        <f aca="false">IF(OR(B830="",F830=""),"",F830-ROW()/100000)</f>
        <v/>
      </c>
      <c r="I830" s="0" t="str">
        <f aca="false">IF(H830="","",C830&amp;"|"&amp;(COUNTIFS($C$2:$C$1000,C830,$H$2:$H$1000,"&gt;"&amp;H830)+1))</f>
        <v/>
      </c>
    </row>
    <row r="831" customFormat="false" ht="15" hidden="false" customHeight="false" outlineLevel="0" collapsed="false">
      <c r="A831" s="8" t="str">
        <f aca="false">IF(F831="","",COUNTIF($F$2:$F$1000,"&gt;"&amp;F831)+1)</f>
        <v/>
      </c>
      <c r="B831" s="9"/>
      <c r="C831" s="10"/>
      <c r="D831" s="11" t="str">
        <f aca="false">IF(C831="","",IFERROR(INDEX(Summary!$B$2:$B$14,MATCH(C831,Summary!$A$2:$A$14,0)),"?"))</f>
        <v/>
      </c>
      <c r="E831" s="11" t="str">
        <f aca="false">IF(C831="","",IFERROR(INDEX(Summary!$C$2:$C$14,MATCH(C831,Summary!$A$2:$A$14,0)),"?"))</f>
        <v/>
      </c>
      <c r="F831" s="12"/>
      <c r="H831" s="0" t="str">
        <f aca="false">IF(OR(B831="",F831=""),"",F831-ROW()/100000)</f>
        <v/>
      </c>
      <c r="I831" s="0" t="str">
        <f aca="false">IF(H831="","",C831&amp;"|"&amp;(COUNTIFS($C$2:$C$1000,C831,$H$2:$H$1000,"&gt;"&amp;H831)+1))</f>
        <v/>
      </c>
    </row>
    <row r="832" customFormat="false" ht="15" hidden="false" customHeight="false" outlineLevel="0" collapsed="false">
      <c r="A832" s="8" t="str">
        <f aca="false">IF(F832="","",COUNTIF($F$2:$F$1000,"&gt;"&amp;F832)+1)</f>
        <v/>
      </c>
      <c r="B832" s="9"/>
      <c r="C832" s="10"/>
      <c r="D832" s="11" t="str">
        <f aca="false">IF(C832="","",IFERROR(INDEX(Summary!$B$2:$B$14,MATCH(C832,Summary!$A$2:$A$14,0)),"?"))</f>
        <v/>
      </c>
      <c r="E832" s="11" t="str">
        <f aca="false">IF(C832="","",IFERROR(INDEX(Summary!$C$2:$C$14,MATCH(C832,Summary!$A$2:$A$14,0)),"?"))</f>
        <v/>
      </c>
      <c r="F832" s="12"/>
      <c r="H832" s="0" t="str">
        <f aca="false">IF(OR(B832="",F832=""),"",F832-ROW()/100000)</f>
        <v/>
      </c>
      <c r="I832" s="0" t="str">
        <f aca="false">IF(H832="","",C832&amp;"|"&amp;(COUNTIFS($C$2:$C$1000,C832,$H$2:$H$1000,"&gt;"&amp;H832)+1))</f>
        <v/>
      </c>
    </row>
    <row r="833" customFormat="false" ht="15" hidden="false" customHeight="false" outlineLevel="0" collapsed="false">
      <c r="A833" s="8" t="str">
        <f aca="false">IF(F833="","",COUNTIF($F$2:$F$1000,"&gt;"&amp;F833)+1)</f>
        <v/>
      </c>
      <c r="B833" s="9"/>
      <c r="C833" s="10"/>
      <c r="D833" s="11" t="str">
        <f aca="false">IF(C833="","",IFERROR(INDEX(Summary!$B$2:$B$14,MATCH(C833,Summary!$A$2:$A$14,0)),"?"))</f>
        <v/>
      </c>
      <c r="E833" s="11" t="str">
        <f aca="false">IF(C833="","",IFERROR(INDEX(Summary!$C$2:$C$14,MATCH(C833,Summary!$A$2:$A$14,0)),"?"))</f>
        <v/>
      </c>
      <c r="F833" s="12"/>
      <c r="H833" s="0" t="str">
        <f aca="false">IF(OR(B833="",F833=""),"",F833-ROW()/100000)</f>
        <v/>
      </c>
      <c r="I833" s="0" t="str">
        <f aca="false">IF(H833="","",C833&amp;"|"&amp;(COUNTIFS($C$2:$C$1000,C833,$H$2:$H$1000,"&gt;"&amp;H833)+1))</f>
        <v/>
      </c>
    </row>
    <row r="834" customFormat="false" ht="15" hidden="false" customHeight="false" outlineLevel="0" collapsed="false">
      <c r="A834" s="8" t="str">
        <f aca="false">IF(F834="","",COUNTIF($F$2:$F$1000,"&gt;"&amp;F834)+1)</f>
        <v/>
      </c>
      <c r="B834" s="9"/>
      <c r="C834" s="10"/>
      <c r="D834" s="11" t="str">
        <f aca="false">IF(C834="","",IFERROR(INDEX(Summary!$B$2:$B$14,MATCH(C834,Summary!$A$2:$A$14,0)),"?"))</f>
        <v/>
      </c>
      <c r="E834" s="11" t="str">
        <f aca="false">IF(C834="","",IFERROR(INDEX(Summary!$C$2:$C$14,MATCH(C834,Summary!$A$2:$A$14,0)),"?"))</f>
        <v/>
      </c>
      <c r="F834" s="12"/>
      <c r="H834" s="0" t="str">
        <f aca="false">IF(OR(B834="",F834=""),"",F834-ROW()/100000)</f>
        <v/>
      </c>
      <c r="I834" s="0" t="str">
        <f aca="false">IF(H834="","",C834&amp;"|"&amp;(COUNTIFS($C$2:$C$1000,C834,$H$2:$H$1000,"&gt;"&amp;H834)+1))</f>
        <v/>
      </c>
    </row>
    <row r="835" customFormat="false" ht="15" hidden="false" customHeight="false" outlineLevel="0" collapsed="false">
      <c r="A835" s="8" t="str">
        <f aca="false">IF(F835="","",COUNTIF($F$2:$F$1000,"&gt;"&amp;F835)+1)</f>
        <v/>
      </c>
      <c r="B835" s="9"/>
      <c r="C835" s="10"/>
      <c r="D835" s="11" t="str">
        <f aca="false">IF(C835="","",IFERROR(INDEX(Summary!$B$2:$B$14,MATCH(C835,Summary!$A$2:$A$14,0)),"?"))</f>
        <v/>
      </c>
      <c r="E835" s="11" t="str">
        <f aca="false">IF(C835="","",IFERROR(INDEX(Summary!$C$2:$C$14,MATCH(C835,Summary!$A$2:$A$14,0)),"?"))</f>
        <v/>
      </c>
      <c r="F835" s="12"/>
      <c r="H835" s="0" t="str">
        <f aca="false">IF(OR(B835="",F835=""),"",F835-ROW()/100000)</f>
        <v/>
      </c>
      <c r="I835" s="0" t="str">
        <f aca="false">IF(H835="","",C835&amp;"|"&amp;(COUNTIFS($C$2:$C$1000,C835,$H$2:$H$1000,"&gt;"&amp;H835)+1))</f>
        <v/>
      </c>
    </row>
    <row r="836" customFormat="false" ht="15" hidden="false" customHeight="false" outlineLevel="0" collapsed="false">
      <c r="A836" s="8" t="str">
        <f aca="false">IF(F836="","",COUNTIF($F$2:$F$1000,"&gt;"&amp;F836)+1)</f>
        <v/>
      </c>
      <c r="B836" s="9"/>
      <c r="C836" s="10"/>
      <c r="D836" s="11" t="str">
        <f aca="false">IF(C836="","",IFERROR(INDEX(Summary!$B$2:$B$14,MATCH(C836,Summary!$A$2:$A$14,0)),"?"))</f>
        <v/>
      </c>
      <c r="E836" s="11" t="str">
        <f aca="false">IF(C836="","",IFERROR(INDEX(Summary!$C$2:$C$14,MATCH(C836,Summary!$A$2:$A$14,0)),"?"))</f>
        <v/>
      </c>
      <c r="F836" s="12"/>
      <c r="H836" s="0" t="str">
        <f aca="false">IF(OR(B836="",F836=""),"",F836-ROW()/100000)</f>
        <v/>
      </c>
      <c r="I836" s="0" t="str">
        <f aca="false">IF(H836="","",C836&amp;"|"&amp;(COUNTIFS($C$2:$C$1000,C836,$H$2:$H$1000,"&gt;"&amp;H836)+1))</f>
        <v/>
      </c>
    </row>
    <row r="837" customFormat="false" ht="15" hidden="false" customHeight="false" outlineLevel="0" collapsed="false">
      <c r="A837" s="8" t="str">
        <f aca="false">IF(F837="","",COUNTIF($F$2:$F$1000,"&gt;"&amp;F837)+1)</f>
        <v/>
      </c>
      <c r="B837" s="9"/>
      <c r="C837" s="10"/>
      <c r="D837" s="11" t="str">
        <f aca="false">IF(C837="","",IFERROR(INDEX(Summary!$B$2:$B$14,MATCH(C837,Summary!$A$2:$A$14,0)),"?"))</f>
        <v/>
      </c>
      <c r="E837" s="11" t="str">
        <f aca="false">IF(C837="","",IFERROR(INDEX(Summary!$C$2:$C$14,MATCH(C837,Summary!$A$2:$A$14,0)),"?"))</f>
        <v/>
      </c>
      <c r="F837" s="12"/>
      <c r="H837" s="0" t="str">
        <f aca="false">IF(OR(B837="",F837=""),"",F837-ROW()/100000)</f>
        <v/>
      </c>
      <c r="I837" s="0" t="str">
        <f aca="false">IF(H837="","",C837&amp;"|"&amp;(COUNTIFS($C$2:$C$1000,C837,$H$2:$H$1000,"&gt;"&amp;H837)+1))</f>
        <v/>
      </c>
    </row>
    <row r="838" customFormat="false" ht="15" hidden="false" customHeight="false" outlineLevel="0" collapsed="false">
      <c r="A838" s="8" t="str">
        <f aca="false">IF(F838="","",COUNTIF($F$2:$F$1000,"&gt;"&amp;F838)+1)</f>
        <v/>
      </c>
      <c r="B838" s="9"/>
      <c r="C838" s="10"/>
      <c r="D838" s="11" t="str">
        <f aca="false">IF(C838="","",IFERROR(INDEX(Summary!$B$2:$B$14,MATCH(C838,Summary!$A$2:$A$14,0)),"?"))</f>
        <v/>
      </c>
      <c r="E838" s="11" t="str">
        <f aca="false">IF(C838="","",IFERROR(INDEX(Summary!$C$2:$C$14,MATCH(C838,Summary!$A$2:$A$14,0)),"?"))</f>
        <v/>
      </c>
      <c r="F838" s="12"/>
      <c r="H838" s="0" t="str">
        <f aca="false">IF(OR(B838="",F838=""),"",F838-ROW()/100000)</f>
        <v/>
      </c>
      <c r="I838" s="0" t="str">
        <f aca="false">IF(H838="","",C838&amp;"|"&amp;(COUNTIFS($C$2:$C$1000,C838,$H$2:$H$1000,"&gt;"&amp;H838)+1))</f>
        <v/>
      </c>
    </row>
    <row r="839" customFormat="false" ht="15" hidden="false" customHeight="false" outlineLevel="0" collapsed="false">
      <c r="A839" s="8" t="str">
        <f aca="false">IF(F839="","",COUNTIF($F$2:$F$1000,"&gt;"&amp;F839)+1)</f>
        <v/>
      </c>
      <c r="B839" s="9"/>
      <c r="C839" s="10"/>
      <c r="D839" s="11" t="str">
        <f aca="false">IF(C839="","",IFERROR(INDEX(Summary!$B$2:$B$14,MATCH(C839,Summary!$A$2:$A$14,0)),"?"))</f>
        <v/>
      </c>
      <c r="E839" s="11" t="str">
        <f aca="false">IF(C839="","",IFERROR(INDEX(Summary!$C$2:$C$14,MATCH(C839,Summary!$A$2:$A$14,0)),"?"))</f>
        <v/>
      </c>
      <c r="F839" s="12"/>
      <c r="H839" s="0" t="str">
        <f aca="false">IF(OR(B839="",F839=""),"",F839-ROW()/100000)</f>
        <v/>
      </c>
      <c r="I839" s="0" t="str">
        <f aca="false">IF(H839="","",C839&amp;"|"&amp;(COUNTIFS($C$2:$C$1000,C839,$H$2:$H$1000,"&gt;"&amp;H839)+1))</f>
        <v/>
      </c>
    </row>
    <row r="840" customFormat="false" ht="15" hidden="false" customHeight="false" outlineLevel="0" collapsed="false">
      <c r="A840" s="8" t="str">
        <f aca="false">IF(F840="","",COUNTIF($F$2:$F$1000,"&gt;"&amp;F840)+1)</f>
        <v/>
      </c>
      <c r="B840" s="9"/>
      <c r="C840" s="10"/>
      <c r="D840" s="11" t="str">
        <f aca="false">IF(C840="","",IFERROR(INDEX(Summary!$B$2:$B$14,MATCH(C840,Summary!$A$2:$A$14,0)),"?"))</f>
        <v/>
      </c>
      <c r="E840" s="11" t="str">
        <f aca="false">IF(C840="","",IFERROR(INDEX(Summary!$C$2:$C$14,MATCH(C840,Summary!$A$2:$A$14,0)),"?"))</f>
        <v/>
      </c>
      <c r="F840" s="12"/>
      <c r="H840" s="0" t="str">
        <f aca="false">IF(OR(B840="",F840=""),"",F840-ROW()/100000)</f>
        <v/>
      </c>
      <c r="I840" s="0" t="str">
        <f aca="false">IF(H840="","",C840&amp;"|"&amp;(COUNTIFS($C$2:$C$1000,C840,$H$2:$H$1000,"&gt;"&amp;H840)+1))</f>
        <v/>
      </c>
    </row>
    <row r="841" customFormat="false" ht="15" hidden="false" customHeight="false" outlineLevel="0" collapsed="false">
      <c r="A841" s="8" t="str">
        <f aca="false">IF(F841="","",COUNTIF($F$2:$F$1000,"&gt;"&amp;F841)+1)</f>
        <v/>
      </c>
      <c r="B841" s="9"/>
      <c r="C841" s="10"/>
      <c r="D841" s="11" t="str">
        <f aca="false">IF(C841="","",IFERROR(INDEX(Summary!$B$2:$B$14,MATCH(C841,Summary!$A$2:$A$14,0)),"?"))</f>
        <v/>
      </c>
      <c r="E841" s="11" t="str">
        <f aca="false">IF(C841="","",IFERROR(INDEX(Summary!$C$2:$C$14,MATCH(C841,Summary!$A$2:$A$14,0)),"?"))</f>
        <v/>
      </c>
      <c r="F841" s="12"/>
      <c r="H841" s="0" t="str">
        <f aca="false">IF(OR(B841="",F841=""),"",F841-ROW()/100000)</f>
        <v/>
      </c>
      <c r="I841" s="0" t="str">
        <f aca="false">IF(H841="","",C841&amp;"|"&amp;(COUNTIFS($C$2:$C$1000,C841,$H$2:$H$1000,"&gt;"&amp;H841)+1))</f>
        <v/>
      </c>
    </row>
    <row r="842" customFormat="false" ht="15" hidden="false" customHeight="false" outlineLevel="0" collapsed="false">
      <c r="A842" s="8" t="str">
        <f aca="false">IF(F842="","",COUNTIF($F$2:$F$1000,"&gt;"&amp;F842)+1)</f>
        <v/>
      </c>
      <c r="B842" s="9"/>
      <c r="C842" s="10"/>
      <c r="D842" s="11" t="str">
        <f aca="false">IF(C842="","",IFERROR(INDEX(Summary!$B$2:$B$14,MATCH(C842,Summary!$A$2:$A$14,0)),"?"))</f>
        <v/>
      </c>
      <c r="E842" s="11" t="str">
        <f aca="false">IF(C842="","",IFERROR(INDEX(Summary!$C$2:$C$14,MATCH(C842,Summary!$A$2:$A$14,0)),"?"))</f>
        <v/>
      </c>
      <c r="F842" s="12"/>
      <c r="H842" s="0" t="str">
        <f aca="false">IF(OR(B842="",F842=""),"",F842-ROW()/100000)</f>
        <v/>
      </c>
      <c r="I842" s="0" t="str">
        <f aca="false">IF(H842="","",C842&amp;"|"&amp;(COUNTIFS($C$2:$C$1000,C842,$H$2:$H$1000,"&gt;"&amp;H842)+1))</f>
        <v/>
      </c>
    </row>
    <row r="843" customFormat="false" ht="15" hidden="false" customHeight="false" outlineLevel="0" collapsed="false">
      <c r="A843" s="8" t="str">
        <f aca="false">IF(F843="","",COUNTIF($F$2:$F$1000,"&gt;"&amp;F843)+1)</f>
        <v/>
      </c>
      <c r="B843" s="9"/>
      <c r="C843" s="10"/>
      <c r="D843" s="11" t="str">
        <f aca="false">IF(C843="","",IFERROR(INDEX(Summary!$B$2:$B$14,MATCH(C843,Summary!$A$2:$A$14,0)),"?"))</f>
        <v/>
      </c>
      <c r="E843" s="11" t="str">
        <f aca="false">IF(C843="","",IFERROR(INDEX(Summary!$C$2:$C$14,MATCH(C843,Summary!$A$2:$A$14,0)),"?"))</f>
        <v/>
      </c>
      <c r="F843" s="12"/>
      <c r="H843" s="0" t="str">
        <f aca="false">IF(OR(B843="",F843=""),"",F843-ROW()/100000)</f>
        <v/>
      </c>
      <c r="I843" s="0" t="str">
        <f aca="false">IF(H843="","",C843&amp;"|"&amp;(COUNTIFS($C$2:$C$1000,C843,$H$2:$H$1000,"&gt;"&amp;H843)+1))</f>
        <v/>
      </c>
    </row>
    <row r="844" customFormat="false" ht="15" hidden="false" customHeight="false" outlineLevel="0" collapsed="false">
      <c r="A844" s="8" t="str">
        <f aca="false">IF(F844="","",COUNTIF($F$2:$F$1000,"&gt;"&amp;F844)+1)</f>
        <v/>
      </c>
      <c r="B844" s="9"/>
      <c r="C844" s="10"/>
      <c r="D844" s="11" t="str">
        <f aca="false">IF(C844="","",IFERROR(INDEX(Summary!$B$2:$B$14,MATCH(C844,Summary!$A$2:$A$14,0)),"?"))</f>
        <v/>
      </c>
      <c r="E844" s="11" t="str">
        <f aca="false">IF(C844="","",IFERROR(INDEX(Summary!$C$2:$C$14,MATCH(C844,Summary!$A$2:$A$14,0)),"?"))</f>
        <v/>
      </c>
      <c r="F844" s="12"/>
      <c r="H844" s="0" t="str">
        <f aca="false">IF(OR(B844="",F844=""),"",F844-ROW()/100000)</f>
        <v/>
      </c>
      <c r="I844" s="0" t="str">
        <f aca="false">IF(H844="","",C844&amp;"|"&amp;(COUNTIFS($C$2:$C$1000,C844,$H$2:$H$1000,"&gt;"&amp;H844)+1))</f>
        <v/>
      </c>
    </row>
    <row r="845" customFormat="false" ht="15" hidden="false" customHeight="false" outlineLevel="0" collapsed="false">
      <c r="A845" s="8" t="str">
        <f aca="false">IF(F845="","",COUNTIF($F$2:$F$1000,"&gt;"&amp;F845)+1)</f>
        <v/>
      </c>
      <c r="B845" s="9"/>
      <c r="C845" s="10"/>
      <c r="D845" s="11" t="str">
        <f aca="false">IF(C845="","",IFERROR(INDEX(Summary!$B$2:$B$14,MATCH(C845,Summary!$A$2:$A$14,0)),"?"))</f>
        <v/>
      </c>
      <c r="E845" s="11" t="str">
        <f aca="false">IF(C845="","",IFERROR(INDEX(Summary!$C$2:$C$14,MATCH(C845,Summary!$A$2:$A$14,0)),"?"))</f>
        <v/>
      </c>
      <c r="F845" s="12"/>
      <c r="H845" s="0" t="str">
        <f aca="false">IF(OR(B845="",F845=""),"",F845-ROW()/100000)</f>
        <v/>
      </c>
      <c r="I845" s="0" t="str">
        <f aca="false">IF(H845="","",C845&amp;"|"&amp;(COUNTIFS($C$2:$C$1000,C845,$H$2:$H$1000,"&gt;"&amp;H845)+1))</f>
        <v/>
      </c>
    </row>
    <row r="846" customFormat="false" ht="15" hidden="false" customHeight="false" outlineLevel="0" collapsed="false">
      <c r="A846" s="8" t="str">
        <f aca="false">IF(F846="","",COUNTIF($F$2:$F$1000,"&gt;"&amp;F846)+1)</f>
        <v/>
      </c>
      <c r="B846" s="9"/>
      <c r="C846" s="10"/>
      <c r="D846" s="11" t="str">
        <f aca="false">IF(C846="","",IFERROR(INDEX(Summary!$B$2:$B$14,MATCH(C846,Summary!$A$2:$A$14,0)),"?"))</f>
        <v/>
      </c>
      <c r="E846" s="11" t="str">
        <f aca="false">IF(C846="","",IFERROR(INDEX(Summary!$C$2:$C$14,MATCH(C846,Summary!$A$2:$A$14,0)),"?"))</f>
        <v/>
      </c>
      <c r="F846" s="12"/>
      <c r="H846" s="0" t="str">
        <f aca="false">IF(OR(B846="",F846=""),"",F846-ROW()/100000)</f>
        <v/>
      </c>
      <c r="I846" s="0" t="str">
        <f aca="false">IF(H846="","",C846&amp;"|"&amp;(COUNTIFS($C$2:$C$1000,C846,$H$2:$H$1000,"&gt;"&amp;H846)+1))</f>
        <v/>
      </c>
    </row>
    <row r="847" customFormat="false" ht="15" hidden="false" customHeight="false" outlineLevel="0" collapsed="false">
      <c r="A847" s="8" t="str">
        <f aca="false">IF(F847="","",COUNTIF($F$2:$F$1000,"&gt;"&amp;F847)+1)</f>
        <v/>
      </c>
      <c r="B847" s="9"/>
      <c r="C847" s="10"/>
      <c r="D847" s="11" t="str">
        <f aca="false">IF(C847="","",IFERROR(INDEX(Summary!$B$2:$B$14,MATCH(C847,Summary!$A$2:$A$14,0)),"?"))</f>
        <v/>
      </c>
      <c r="E847" s="11" t="str">
        <f aca="false">IF(C847="","",IFERROR(INDEX(Summary!$C$2:$C$14,MATCH(C847,Summary!$A$2:$A$14,0)),"?"))</f>
        <v/>
      </c>
      <c r="F847" s="12"/>
      <c r="H847" s="0" t="str">
        <f aca="false">IF(OR(B847="",F847=""),"",F847-ROW()/100000)</f>
        <v/>
      </c>
      <c r="I847" s="0" t="str">
        <f aca="false">IF(H847="","",C847&amp;"|"&amp;(COUNTIFS($C$2:$C$1000,C847,$H$2:$H$1000,"&gt;"&amp;H847)+1))</f>
        <v/>
      </c>
    </row>
    <row r="848" customFormat="false" ht="15" hidden="false" customHeight="false" outlineLevel="0" collapsed="false">
      <c r="A848" s="8" t="str">
        <f aca="false">IF(F848="","",COUNTIF($F$2:$F$1000,"&gt;"&amp;F848)+1)</f>
        <v/>
      </c>
      <c r="B848" s="9"/>
      <c r="C848" s="10"/>
      <c r="D848" s="11" t="str">
        <f aca="false">IF(C848="","",IFERROR(INDEX(Summary!$B$2:$B$14,MATCH(C848,Summary!$A$2:$A$14,0)),"?"))</f>
        <v/>
      </c>
      <c r="E848" s="11" t="str">
        <f aca="false">IF(C848="","",IFERROR(INDEX(Summary!$C$2:$C$14,MATCH(C848,Summary!$A$2:$A$14,0)),"?"))</f>
        <v/>
      </c>
      <c r="F848" s="12"/>
      <c r="H848" s="0" t="str">
        <f aca="false">IF(OR(B848="",F848=""),"",F848-ROW()/100000)</f>
        <v/>
      </c>
      <c r="I848" s="0" t="str">
        <f aca="false">IF(H848="","",C848&amp;"|"&amp;(COUNTIFS($C$2:$C$1000,C848,$H$2:$H$1000,"&gt;"&amp;H848)+1))</f>
        <v/>
      </c>
    </row>
    <row r="849" customFormat="false" ht="15" hidden="false" customHeight="false" outlineLevel="0" collapsed="false">
      <c r="A849" s="8" t="str">
        <f aca="false">IF(F849="","",COUNTIF($F$2:$F$1000,"&gt;"&amp;F849)+1)</f>
        <v/>
      </c>
      <c r="B849" s="9"/>
      <c r="C849" s="10"/>
      <c r="D849" s="11" t="str">
        <f aca="false">IF(C849="","",IFERROR(INDEX(Summary!$B$2:$B$14,MATCH(C849,Summary!$A$2:$A$14,0)),"?"))</f>
        <v/>
      </c>
      <c r="E849" s="11" t="str">
        <f aca="false">IF(C849="","",IFERROR(INDEX(Summary!$C$2:$C$14,MATCH(C849,Summary!$A$2:$A$14,0)),"?"))</f>
        <v/>
      </c>
      <c r="F849" s="12"/>
      <c r="H849" s="0" t="str">
        <f aca="false">IF(OR(B849="",F849=""),"",F849-ROW()/100000)</f>
        <v/>
      </c>
      <c r="I849" s="0" t="str">
        <f aca="false">IF(H849="","",C849&amp;"|"&amp;(COUNTIFS($C$2:$C$1000,C849,$H$2:$H$1000,"&gt;"&amp;H849)+1))</f>
        <v/>
      </c>
    </row>
    <row r="850" customFormat="false" ht="15" hidden="false" customHeight="false" outlineLevel="0" collapsed="false">
      <c r="A850" s="8" t="str">
        <f aca="false">IF(F850="","",COUNTIF($F$2:$F$1000,"&gt;"&amp;F850)+1)</f>
        <v/>
      </c>
      <c r="B850" s="9"/>
      <c r="C850" s="10"/>
      <c r="D850" s="11" t="str">
        <f aca="false">IF(C850="","",IFERROR(INDEX(Summary!$B$2:$B$14,MATCH(C850,Summary!$A$2:$A$14,0)),"?"))</f>
        <v/>
      </c>
      <c r="E850" s="11" t="str">
        <f aca="false">IF(C850="","",IFERROR(INDEX(Summary!$C$2:$C$14,MATCH(C850,Summary!$A$2:$A$14,0)),"?"))</f>
        <v/>
      </c>
      <c r="F850" s="12"/>
      <c r="H850" s="0" t="str">
        <f aca="false">IF(OR(B850="",F850=""),"",F850-ROW()/100000)</f>
        <v/>
      </c>
      <c r="I850" s="0" t="str">
        <f aca="false">IF(H850="","",C850&amp;"|"&amp;(COUNTIFS($C$2:$C$1000,C850,$H$2:$H$1000,"&gt;"&amp;H850)+1))</f>
        <v/>
      </c>
    </row>
    <row r="851" customFormat="false" ht="15" hidden="false" customHeight="false" outlineLevel="0" collapsed="false">
      <c r="A851" s="8" t="str">
        <f aca="false">IF(F851="","",COUNTIF($F$2:$F$1000,"&gt;"&amp;F851)+1)</f>
        <v/>
      </c>
      <c r="B851" s="9"/>
      <c r="C851" s="10"/>
      <c r="D851" s="11" t="str">
        <f aca="false">IF(C851="","",IFERROR(INDEX(Summary!$B$2:$B$14,MATCH(C851,Summary!$A$2:$A$14,0)),"?"))</f>
        <v/>
      </c>
      <c r="E851" s="11" t="str">
        <f aca="false">IF(C851="","",IFERROR(INDEX(Summary!$C$2:$C$14,MATCH(C851,Summary!$A$2:$A$14,0)),"?"))</f>
        <v/>
      </c>
      <c r="F851" s="12"/>
      <c r="H851" s="0" t="str">
        <f aca="false">IF(OR(B851="",F851=""),"",F851-ROW()/100000)</f>
        <v/>
      </c>
      <c r="I851" s="0" t="str">
        <f aca="false">IF(H851="","",C851&amp;"|"&amp;(COUNTIFS($C$2:$C$1000,C851,$H$2:$H$1000,"&gt;"&amp;H851)+1))</f>
        <v/>
      </c>
    </row>
    <row r="852" customFormat="false" ht="15" hidden="false" customHeight="false" outlineLevel="0" collapsed="false">
      <c r="A852" s="8" t="str">
        <f aca="false">IF(F852="","",COUNTIF($F$2:$F$1000,"&gt;"&amp;F852)+1)</f>
        <v/>
      </c>
      <c r="B852" s="9"/>
      <c r="C852" s="10"/>
      <c r="D852" s="11" t="str">
        <f aca="false">IF(C852="","",IFERROR(INDEX(Summary!$B$2:$B$14,MATCH(C852,Summary!$A$2:$A$14,0)),"?"))</f>
        <v/>
      </c>
      <c r="E852" s="11" t="str">
        <f aca="false">IF(C852="","",IFERROR(INDEX(Summary!$C$2:$C$14,MATCH(C852,Summary!$A$2:$A$14,0)),"?"))</f>
        <v/>
      </c>
      <c r="F852" s="12"/>
      <c r="H852" s="0" t="str">
        <f aca="false">IF(OR(B852="",F852=""),"",F852-ROW()/100000)</f>
        <v/>
      </c>
      <c r="I852" s="0" t="str">
        <f aca="false">IF(H852="","",C852&amp;"|"&amp;(COUNTIFS($C$2:$C$1000,C852,$H$2:$H$1000,"&gt;"&amp;H852)+1))</f>
        <v/>
      </c>
    </row>
    <row r="853" customFormat="false" ht="15" hidden="false" customHeight="false" outlineLevel="0" collapsed="false">
      <c r="A853" s="8" t="str">
        <f aca="false">IF(F853="","",COUNTIF($F$2:$F$1000,"&gt;"&amp;F853)+1)</f>
        <v/>
      </c>
      <c r="B853" s="9"/>
      <c r="C853" s="10"/>
      <c r="D853" s="11" t="str">
        <f aca="false">IF(C853="","",IFERROR(INDEX(Summary!$B$2:$B$14,MATCH(C853,Summary!$A$2:$A$14,0)),"?"))</f>
        <v/>
      </c>
      <c r="E853" s="11" t="str">
        <f aca="false">IF(C853="","",IFERROR(INDEX(Summary!$C$2:$C$14,MATCH(C853,Summary!$A$2:$A$14,0)),"?"))</f>
        <v/>
      </c>
      <c r="F853" s="12"/>
      <c r="H853" s="0" t="str">
        <f aca="false">IF(OR(B853="",F853=""),"",F853-ROW()/100000)</f>
        <v/>
      </c>
      <c r="I853" s="0" t="str">
        <f aca="false">IF(H853="","",C853&amp;"|"&amp;(COUNTIFS($C$2:$C$1000,C853,$H$2:$H$1000,"&gt;"&amp;H853)+1))</f>
        <v/>
      </c>
    </row>
    <row r="854" customFormat="false" ht="15" hidden="false" customHeight="false" outlineLevel="0" collapsed="false">
      <c r="A854" s="8" t="str">
        <f aca="false">IF(F854="","",COUNTIF($F$2:$F$1000,"&gt;"&amp;F854)+1)</f>
        <v/>
      </c>
      <c r="B854" s="9"/>
      <c r="C854" s="10"/>
      <c r="D854" s="11" t="str">
        <f aca="false">IF(C854="","",IFERROR(INDEX(Summary!$B$2:$B$14,MATCH(C854,Summary!$A$2:$A$14,0)),"?"))</f>
        <v/>
      </c>
      <c r="E854" s="11" t="str">
        <f aca="false">IF(C854="","",IFERROR(INDEX(Summary!$C$2:$C$14,MATCH(C854,Summary!$A$2:$A$14,0)),"?"))</f>
        <v/>
      </c>
      <c r="F854" s="12"/>
      <c r="H854" s="0" t="str">
        <f aca="false">IF(OR(B854="",F854=""),"",F854-ROW()/100000)</f>
        <v/>
      </c>
      <c r="I854" s="0" t="str">
        <f aca="false">IF(H854="","",C854&amp;"|"&amp;(COUNTIFS($C$2:$C$1000,C854,$H$2:$H$1000,"&gt;"&amp;H854)+1))</f>
        <v/>
      </c>
    </row>
    <row r="855" customFormat="false" ht="15" hidden="false" customHeight="false" outlineLevel="0" collapsed="false">
      <c r="A855" s="8" t="str">
        <f aca="false">IF(F855="","",COUNTIF($F$2:$F$1000,"&gt;"&amp;F855)+1)</f>
        <v/>
      </c>
      <c r="B855" s="9"/>
      <c r="C855" s="10"/>
      <c r="D855" s="11" t="str">
        <f aca="false">IF(C855="","",IFERROR(INDEX(Summary!$B$2:$B$14,MATCH(C855,Summary!$A$2:$A$14,0)),"?"))</f>
        <v/>
      </c>
      <c r="E855" s="11" t="str">
        <f aca="false">IF(C855="","",IFERROR(INDEX(Summary!$C$2:$C$14,MATCH(C855,Summary!$A$2:$A$14,0)),"?"))</f>
        <v/>
      </c>
      <c r="F855" s="12"/>
      <c r="H855" s="0" t="str">
        <f aca="false">IF(OR(B855="",F855=""),"",F855-ROW()/100000)</f>
        <v/>
      </c>
      <c r="I855" s="0" t="str">
        <f aca="false">IF(H855="","",C855&amp;"|"&amp;(COUNTIFS($C$2:$C$1000,C855,$H$2:$H$1000,"&gt;"&amp;H855)+1))</f>
        <v/>
      </c>
    </row>
    <row r="856" customFormat="false" ht="15" hidden="false" customHeight="false" outlineLevel="0" collapsed="false">
      <c r="A856" s="8" t="str">
        <f aca="false">IF(F856="","",COUNTIF($F$2:$F$1000,"&gt;"&amp;F856)+1)</f>
        <v/>
      </c>
      <c r="B856" s="9"/>
      <c r="C856" s="10"/>
      <c r="D856" s="11" t="str">
        <f aca="false">IF(C856="","",IFERROR(INDEX(Summary!$B$2:$B$14,MATCH(C856,Summary!$A$2:$A$14,0)),"?"))</f>
        <v/>
      </c>
      <c r="E856" s="11" t="str">
        <f aca="false">IF(C856="","",IFERROR(INDEX(Summary!$C$2:$C$14,MATCH(C856,Summary!$A$2:$A$14,0)),"?"))</f>
        <v/>
      </c>
      <c r="F856" s="12"/>
      <c r="H856" s="0" t="str">
        <f aca="false">IF(OR(B856="",F856=""),"",F856-ROW()/100000)</f>
        <v/>
      </c>
      <c r="I856" s="0" t="str">
        <f aca="false">IF(H856="","",C856&amp;"|"&amp;(COUNTIFS($C$2:$C$1000,C856,$H$2:$H$1000,"&gt;"&amp;H856)+1))</f>
        <v/>
      </c>
    </row>
    <row r="857" customFormat="false" ht="15" hidden="false" customHeight="false" outlineLevel="0" collapsed="false">
      <c r="A857" s="8" t="str">
        <f aca="false">IF(F857="","",COUNTIF($F$2:$F$1000,"&gt;"&amp;F857)+1)</f>
        <v/>
      </c>
      <c r="B857" s="9"/>
      <c r="C857" s="10"/>
      <c r="D857" s="11" t="str">
        <f aca="false">IF(C857="","",IFERROR(INDEX(Summary!$B$2:$B$14,MATCH(C857,Summary!$A$2:$A$14,0)),"?"))</f>
        <v/>
      </c>
      <c r="E857" s="11" t="str">
        <f aca="false">IF(C857="","",IFERROR(INDEX(Summary!$C$2:$C$14,MATCH(C857,Summary!$A$2:$A$14,0)),"?"))</f>
        <v/>
      </c>
      <c r="F857" s="12"/>
      <c r="H857" s="0" t="str">
        <f aca="false">IF(OR(B857="",F857=""),"",F857-ROW()/100000)</f>
        <v/>
      </c>
      <c r="I857" s="0" t="str">
        <f aca="false">IF(H857="","",C857&amp;"|"&amp;(COUNTIFS($C$2:$C$1000,C857,$H$2:$H$1000,"&gt;"&amp;H857)+1))</f>
        <v/>
      </c>
    </row>
    <row r="858" customFormat="false" ht="15" hidden="false" customHeight="false" outlineLevel="0" collapsed="false">
      <c r="A858" s="8" t="str">
        <f aca="false">IF(F858="","",COUNTIF($F$2:$F$1000,"&gt;"&amp;F858)+1)</f>
        <v/>
      </c>
      <c r="B858" s="9"/>
      <c r="C858" s="10"/>
      <c r="D858" s="11" t="str">
        <f aca="false">IF(C858="","",IFERROR(INDEX(Summary!$B$2:$B$14,MATCH(C858,Summary!$A$2:$A$14,0)),"?"))</f>
        <v/>
      </c>
      <c r="E858" s="11" t="str">
        <f aca="false">IF(C858="","",IFERROR(INDEX(Summary!$C$2:$C$14,MATCH(C858,Summary!$A$2:$A$14,0)),"?"))</f>
        <v/>
      </c>
      <c r="F858" s="12"/>
      <c r="H858" s="0" t="str">
        <f aca="false">IF(OR(B858="",F858=""),"",F858-ROW()/100000)</f>
        <v/>
      </c>
      <c r="I858" s="0" t="str">
        <f aca="false">IF(H858="","",C858&amp;"|"&amp;(COUNTIFS($C$2:$C$1000,C858,$H$2:$H$1000,"&gt;"&amp;H858)+1))</f>
        <v/>
      </c>
    </row>
    <row r="859" customFormat="false" ht="15" hidden="false" customHeight="false" outlineLevel="0" collapsed="false">
      <c r="A859" s="8" t="str">
        <f aca="false">IF(F859="","",COUNTIF($F$2:$F$1000,"&gt;"&amp;F859)+1)</f>
        <v/>
      </c>
      <c r="B859" s="9"/>
      <c r="C859" s="10"/>
      <c r="D859" s="11" t="str">
        <f aca="false">IF(C859="","",IFERROR(INDEX(Summary!$B$2:$B$14,MATCH(C859,Summary!$A$2:$A$14,0)),"?"))</f>
        <v/>
      </c>
      <c r="E859" s="11" t="str">
        <f aca="false">IF(C859="","",IFERROR(INDEX(Summary!$C$2:$C$14,MATCH(C859,Summary!$A$2:$A$14,0)),"?"))</f>
        <v/>
      </c>
      <c r="F859" s="12"/>
      <c r="H859" s="0" t="str">
        <f aca="false">IF(OR(B859="",F859=""),"",F859-ROW()/100000)</f>
        <v/>
      </c>
      <c r="I859" s="0" t="str">
        <f aca="false">IF(H859="","",C859&amp;"|"&amp;(COUNTIFS($C$2:$C$1000,C859,$H$2:$H$1000,"&gt;"&amp;H859)+1))</f>
        <v/>
      </c>
    </row>
    <row r="860" customFormat="false" ht="15" hidden="false" customHeight="false" outlineLevel="0" collapsed="false">
      <c r="A860" s="8" t="str">
        <f aca="false">IF(F860="","",COUNTIF($F$2:$F$1000,"&gt;"&amp;F860)+1)</f>
        <v/>
      </c>
      <c r="B860" s="9"/>
      <c r="C860" s="10"/>
      <c r="D860" s="11" t="str">
        <f aca="false">IF(C860="","",IFERROR(INDEX(Summary!$B$2:$B$14,MATCH(C860,Summary!$A$2:$A$14,0)),"?"))</f>
        <v/>
      </c>
      <c r="E860" s="11" t="str">
        <f aca="false">IF(C860="","",IFERROR(INDEX(Summary!$C$2:$C$14,MATCH(C860,Summary!$A$2:$A$14,0)),"?"))</f>
        <v/>
      </c>
      <c r="F860" s="12"/>
      <c r="H860" s="0" t="str">
        <f aca="false">IF(OR(B860="",F860=""),"",F860-ROW()/100000)</f>
        <v/>
      </c>
      <c r="I860" s="0" t="str">
        <f aca="false">IF(H860="","",C860&amp;"|"&amp;(COUNTIFS($C$2:$C$1000,C860,$H$2:$H$1000,"&gt;"&amp;H860)+1))</f>
        <v/>
      </c>
    </row>
    <row r="861" customFormat="false" ht="15" hidden="false" customHeight="false" outlineLevel="0" collapsed="false">
      <c r="A861" s="8" t="str">
        <f aca="false">IF(F861="","",COUNTIF($F$2:$F$1000,"&gt;"&amp;F861)+1)</f>
        <v/>
      </c>
      <c r="B861" s="9"/>
      <c r="C861" s="10"/>
      <c r="D861" s="11" t="str">
        <f aca="false">IF(C861="","",IFERROR(INDEX(Summary!$B$2:$B$14,MATCH(C861,Summary!$A$2:$A$14,0)),"?"))</f>
        <v/>
      </c>
      <c r="E861" s="11" t="str">
        <f aca="false">IF(C861="","",IFERROR(INDEX(Summary!$C$2:$C$14,MATCH(C861,Summary!$A$2:$A$14,0)),"?"))</f>
        <v/>
      </c>
      <c r="F861" s="12"/>
      <c r="H861" s="0" t="str">
        <f aca="false">IF(OR(B861="",F861=""),"",F861-ROW()/100000)</f>
        <v/>
      </c>
      <c r="I861" s="0" t="str">
        <f aca="false">IF(H861="","",C861&amp;"|"&amp;(COUNTIFS($C$2:$C$1000,C861,$H$2:$H$1000,"&gt;"&amp;H861)+1))</f>
        <v/>
      </c>
    </row>
    <row r="862" customFormat="false" ht="15" hidden="false" customHeight="false" outlineLevel="0" collapsed="false">
      <c r="A862" s="8" t="str">
        <f aca="false">IF(F862="","",COUNTIF($F$2:$F$1000,"&gt;"&amp;F862)+1)</f>
        <v/>
      </c>
      <c r="B862" s="9"/>
      <c r="C862" s="10"/>
      <c r="D862" s="11" t="str">
        <f aca="false">IF(C862="","",IFERROR(INDEX(Summary!$B$2:$B$14,MATCH(C862,Summary!$A$2:$A$14,0)),"?"))</f>
        <v/>
      </c>
      <c r="E862" s="11" t="str">
        <f aca="false">IF(C862="","",IFERROR(INDEX(Summary!$C$2:$C$14,MATCH(C862,Summary!$A$2:$A$14,0)),"?"))</f>
        <v/>
      </c>
      <c r="F862" s="12"/>
      <c r="H862" s="0" t="str">
        <f aca="false">IF(OR(B862="",F862=""),"",F862-ROW()/100000)</f>
        <v/>
      </c>
      <c r="I862" s="0" t="str">
        <f aca="false">IF(H862="","",C862&amp;"|"&amp;(COUNTIFS($C$2:$C$1000,C862,$H$2:$H$1000,"&gt;"&amp;H862)+1))</f>
        <v/>
      </c>
    </row>
    <row r="863" customFormat="false" ht="15" hidden="false" customHeight="false" outlineLevel="0" collapsed="false">
      <c r="A863" s="8" t="str">
        <f aca="false">IF(F863="","",COUNTIF($F$2:$F$1000,"&gt;"&amp;F863)+1)</f>
        <v/>
      </c>
      <c r="B863" s="9"/>
      <c r="C863" s="10"/>
      <c r="D863" s="11" t="str">
        <f aca="false">IF(C863="","",IFERROR(INDEX(Summary!$B$2:$B$14,MATCH(C863,Summary!$A$2:$A$14,0)),"?"))</f>
        <v/>
      </c>
      <c r="E863" s="11" t="str">
        <f aca="false">IF(C863="","",IFERROR(INDEX(Summary!$C$2:$C$14,MATCH(C863,Summary!$A$2:$A$14,0)),"?"))</f>
        <v/>
      </c>
      <c r="F863" s="12"/>
      <c r="H863" s="0" t="str">
        <f aca="false">IF(OR(B863="",F863=""),"",F863-ROW()/100000)</f>
        <v/>
      </c>
      <c r="I863" s="0" t="str">
        <f aca="false">IF(H863="","",C863&amp;"|"&amp;(COUNTIFS($C$2:$C$1000,C863,$H$2:$H$1000,"&gt;"&amp;H863)+1))</f>
        <v/>
      </c>
    </row>
    <row r="864" customFormat="false" ht="15" hidden="false" customHeight="false" outlineLevel="0" collapsed="false">
      <c r="A864" s="8" t="str">
        <f aca="false">IF(F864="","",COUNTIF($F$2:$F$1000,"&gt;"&amp;F864)+1)</f>
        <v/>
      </c>
      <c r="B864" s="9"/>
      <c r="C864" s="10"/>
      <c r="D864" s="11" t="str">
        <f aca="false">IF(C864="","",IFERROR(INDEX(Summary!$B$2:$B$14,MATCH(C864,Summary!$A$2:$A$14,0)),"?"))</f>
        <v/>
      </c>
      <c r="E864" s="11" t="str">
        <f aca="false">IF(C864="","",IFERROR(INDEX(Summary!$C$2:$C$14,MATCH(C864,Summary!$A$2:$A$14,0)),"?"))</f>
        <v/>
      </c>
      <c r="F864" s="12"/>
      <c r="H864" s="0" t="str">
        <f aca="false">IF(OR(B864="",F864=""),"",F864-ROW()/100000)</f>
        <v/>
      </c>
      <c r="I864" s="0" t="str">
        <f aca="false">IF(H864="","",C864&amp;"|"&amp;(COUNTIFS($C$2:$C$1000,C864,$H$2:$H$1000,"&gt;"&amp;H864)+1))</f>
        <v/>
      </c>
    </row>
    <row r="865" customFormat="false" ht="15" hidden="false" customHeight="false" outlineLevel="0" collapsed="false">
      <c r="A865" s="8" t="str">
        <f aca="false">IF(F865="","",COUNTIF($F$2:$F$1000,"&gt;"&amp;F865)+1)</f>
        <v/>
      </c>
      <c r="B865" s="9"/>
      <c r="C865" s="10"/>
      <c r="D865" s="11" t="str">
        <f aca="false">IF(C865="","",IFERROR(INDEX(Summary!$B$2:$B$14,MATCH(C865,Summary!$A$2:$A$14,0)),"?"))</f>
        <v/>
      </c>
      <c r="E865" s="11" t="str">
        <f aca="false">IF(C865="","",IFERROR(INDEX(Summary!$C$2:$C$14,MATCH(C865,Summary!$A$2:$A$14,0)),"?"))</f>
        <v/>
      </c>
      <c r="F865" s="12"/>
      <c r="H865" s="0" t="str">
        <f aca="false">IF(OR(B865="",F865=""),"",F865-ROW()/100000)</f>
        <v/>
      </c>
      <c r="I865" s="0" t="str">
        <f aca="false">IF(H865="","",C865&amp;"|"&amp;(COUNTIFS($C$2:$C$1000,C865,$H$2:$H$1000,"&gt;"&amp;H865)+1))</f>
        <v/>
      </c>
    </row>
    <row r="866" customFormat="false" ht="15" hidden="false" customHeight="false" outlineLevel="0" collapsed="false">
      <c r="A866" s="8" t="str">
        <f aca="false">IF(F866="","",COUNTIF($F$2:$F$1000,"&gt;"&amp;F866)+1)</f>
        <v/>
      </c>
      <c r="B866" s="9"/>
      <c r="C866" s="10"/>
      <c r="D866" s="11" t="str">
        <f aca="false">IF(C866="","",IFERROR(INDEX(Summary!$B$2:$B$14,MATCH(C866,Summary!$A$2:$A$14,0)),"?"))</f>
        <v/>
      </c>
      <c r="E866" s="11" t="str">
        <f aca="false">IF(C866="","",IFERROR(INDEX(Summary!$C$2:$C$14,MATCH(C866,Summary!$A$2:$A$14,0)),"?"))</f>
        <v/>
      </c>
      <c r="F866" s="12"/>
      <c r="H866" s="0" t="str">
        <f aca="false">IF(OR(B866="",F866=""),"",F866-ROW()/100000)</f>
        <v/>
      </c>
      <c r="I866" s="0" t="str">
        <f aca="false">IF(H866="","",C866&amp;"|"&amp;(COUNTIFS($C$2:$C$1000,C866,$H$2:$H$1000,"&gt;"&amp;H866)+1))</f>
        <v/>
      </c>
    </row>
    <row r="867" customFormat="false" ht="15" hidden="false" customHeight="false" outlineLevel="0" collapsed="false">
      <c r="A867" s="8" t="str">
        <f aca="false">IF(F867="","",COUNTIF($F$2:$F$1000,"&gt;"&amp;F867)+1)</f>
        <v/>
      </c>
      <c r="B867" s="9"/>
      <c r="C867" s="10"/>
      <c r="D867" s="11" t="str">
        <f aca="false">IF(C867="","",IFERROR(INDEX(Summary!$B$2:$B$14,MATCH(C867,Summary!$A$2:$A$14,0)),"?"))</f>
        <v/>
      </c>
      <c r="E867" s="11" t="str">
        <f aca="false">IF(C867="","",IFERROR(INDEX(Summary!$C$2:$C$14,MATCH(C867,Summary!$A$2:$A$14,0)),"?"))</f>
        <v/>
      </c>
      <c r="F867" s="12"/>
      <c r="H867" s="0" t="str">
        <f aca="false">IF(OR(B867="",F867=""),"",F867-ROW()/100000)</f>
        <v/>
      </c>
      <c r="I867" s="0" t="str">
        <f aca="false">IF(H867="","",C867&amp;"|"&amp;(COUNTIFS($C$2:$C$1000,C867,$H$2:$H$1000,"&gt;"&amp;H867)+1))</f>
        <v/>
      </c>
    </row>
    <row r="868" customFormat="false" ht="15" hidden="false" customHeight="false" outlineLevel="0" collapsed="false">
      <c r="A868" s="8" t="str">
        <f aca="false">IF(F868="","",COUNTIF($F$2:$F$1000,"&gt;"&amp;F868)+1)</f>
        <v/>
      </c>
      <c r="B868" s="9"/>
      <c r="C868" s="10"/>
      <c r="D868" s="11" t="str">
        <f aca="false">IF(C868="","",IFERROR(INDEX(Summary!$B$2:$B$14,MATCH(C868,Summary!$A$2:$A$14,0)),"?"))</f>
        <v/>
      </c>
      <c r="E868" s="11" t="str">
        <f aca="false">IF(C868="","",IFERROR(INDEX(Summary!$C$2:$C$14,MATCH(C868,Summary!$A$2:$A$14,0)),"?"))</f>
        <v/>
      </c>
      <c r="F868" s="12"/>
      <c r="H868" s="0" t="str">
        <f aca="false">IF(OR(B868="",F868=""),"",F868-ROW()/100000)</f>
        <v/>
      </c>
      <c r="I868" s="0" t="str">
        <f aca="false">IF(H868="","",C868&amp;"|"&amp;(COUNTIFS($C$2:$C$1000,C868,$H$2:$H$1000,"&gt;"&amp;H868)+1))</f>
        <v/>
      </c>
    </row>
    <row r="869" customFormat="false" ht="15" hidden="false" customHeight="false" outlineLevel="0" collapsed="false">
      <c r="A869" s="8" t="str">
        <f aca="false">IF(F869="","",COUNTIF($F$2:$F$1000,"&gt;"&amp;F869)+1)</f>
        <v/>
      </c>
      <c r="B869" s="9"/>
      <c r="C869" s="10"/>
      <c r="D869" s="11" t="str">
        <f aca="false">IF(C869="","",IFERROR(INDEX(Summary!$B$2:$B$14,MATCH(C869,Summary!$A$2:$A$14,0)),"?"))</f>
        <v/>
      </c>
      <c r="E869" s="11" t="str">
        <f aca="false">IF(C869="","",IFERROR(INDEX(Summary!$C$2:$C$14,MATCH(C869,Summary!$A$2:$A$14,0)),"?"))</f>
        <v/>
      </c>
      <c r="F869" s="12"/>
      <c r="H869" s="0" t="str">
        <f aca="false">IF(OR(B869="",F869=""),"",F869-ROW()/100000)</f>
        <v/>
      </c>
      <c r="I869" s="0" t="str">
        <f aca="false">IF(H869="","",C869&amp;"|"&amp;(COUNTIFS($C$2:$C$1000,C869,$H$2:$H$1000,"&gt;"&amp;H869)+1))</f>
        <v/>
      </c>
    </row>
    <row r="870" customFormat="false" ht="15" hidden="false" customHeight="false" outlineLevel="0" collapsed="false">
      <c r="A870" s="8" t="str">
        <f aca="false">IF(F870="","",COUNTIF($F$2:$F$1000,"&gt;"&amp;F870)+1)</f>
        <v/>
      </c>
      <c r="B870" s="9"/>
      <c r="C870" s="10"/>
      <c r="D870" s="11" t="str">
        <f aca="false">IF(C870="","",IFERROR(INDEX(Summary!$B$2:$B$14,MATCH(C870,Summary!$A$2:$A$14,0)),"?"))</f>
        <v/>
      </c>
      <c r="E870" s="11" t="str">
        <f aca="false">IF(C870="","",IFERROR(INDEX(Summary!$C$2:$C$14,MATCH(C870,Summary!$A$2:$A$14,0)),"?"))</f>
        <v/>
      </c>
      <c r="F870" s="12"/>
      <c r="H870" s="0" t="str">
        <f aca="false">IF(OR(B870="",F870=""),"",F870-ROW()/100000)</f>
        <v/>
      </c>
      <c r="I870" s="0" t="str">
        <f aca="false">IF(H870="","",C870&amp;"|"&amp;(COUNTIFS($C$2:$C$1000,C870,$H$2:$H$1000,"&gt;"&amp;H870)+1))</f>
        <v/>
      </c>
    </row>
    <row r="871" customFormat="false" ht="15" hidden="false" customHeight="false" outlineLevel="0" collapsed="false">
      <c r="A871" s="8" t="str">
        <f aca="false">IF(F871="","",COUNTIF($F$2:$F$1000,"&gt;"&amp;F871)+1)</f>
        <v/>
      </c>
      <c r="B871" s="9"/>
      <c r="C871" s="10"/>
      <c r="D871" s="11" t="str">
        <f aca="false">IF(C871="","",IFERROR(INDEX(Summary!$B$2:$B$14,MATCH(C871,Summary!$A$2:$A$14,0)),"?"))</f>
        <v/>
      </c>
      <c r="E871" s="11" t="str">
        <f aca="false">IF(C871="","",IFERROR(INDEX(Summary!$C$2:$C$14,MATCH(C871,Summary!$A$2:$A$14,0)),"?"))</f>
        <v/>
      </c>
      <c r="F871" s="12"/>
      <c r="H871" s="0" t="str">
        <f aca="false">IF(OR(B871="",F871=""),"",F871-ROW()/100000)</f>
        <v/>
      </c>
      <c r="I871" s="0" t="str">
        <f aca="false">IF(H871="","",C871&amp;"|"&amp;(COUNTIFS($C$2:$C$1000,C871,$H$2:$H$1000,"&gt;"&amp;H871)+1))</f>
        <v/>
      </c>
    </row>
    <row r="872" customFormat="false" ht="15" hidden="false" customHeight="false" outlineLevel="0" collapsed="false">
      <c r="A872" s="8" t="str">
        <f aca="false">IF(F872="","",COUNTIF($F$2:$F$1000,"&gt;"&amp;F872)+1)</f>
        <v/>
      </c>
      <c r="B872" s="9"/>
      <c r="C872" s="10"/>
      <c r="D872" s="11" t="str">
        <f aca="false">IF(C872="","",IFERROR(INDEX(Summary!$B$2:$B$14,MATCH(C872,Summary!$A$2:$A$14,0)),"?"))</f>
        <v/>
      </c>
      <c r="E872" s="11" t="str">
        <f aca="false">IF(C872="","",IFERROR(INDEX(Summary!$C$2:$C$14,MATCH(C872,Summary!$A$2:$A$14,0)),"?"))</f>
        <v/>
      </c>
      <c r="F872" s="12"/>
      <c r="H872" s="0" t="str">
        <f aca="false">IF(OR(B872="",F872=""),"",F872-ROW()/100000)</f>
        <v/>
      </c>
      <c r="I872" s="0" t="str">
        <f aca="false">IF(H872="","",C872&amp;"|"&amp;(COUNTIFS($C$2:$C$1000,C872,$H$2:$H$1000,"&gt;"&amp;H872)+1))</f>
        <v/>
      </c>
    </row>
    <row r="873" customFormat="false" ht="15" hidden="false" customHeight="false" outlineLevel="0" collapsed="false">
      <c r="A873" s="8" t="str">
        <f aca="false">IF(F873="","",COUNTIF($F$2:$F$1000,"&gt;"&amp;F873)+1)</f>
        <v/>
      </c>
      <c r="B873" s="9"/>
      <c r="C873" s="10"/>
      <c r="D873" s="11" t="str">
        <f aca="false">IF(C873="","",IFERROR(INDEX(Summary!$B$2:$B$14,MATCH(C873,Summary!$A$2:$A$14,0)),"?"))</f>
        <v/>
      </c>
      <c r="E873" s="11" t="str">
        <f aca="false">IF(C873="","",IFERROR(INDEX(Summary!$C$2:$C$14,MATCH(C873,Summary!$A$2:$A$14,0)),"?"))</f>
        <v/>
      </c>
      <c r="F873" s="12"/>
      <c r="H873" s="0" t="str">
        <f aca="false">IF(OR(B873="",F873=""),"",F873-ROW()/100000)</f>
        <v/>
      </c>
      <c r="I873" s="0" t="str">
        <f aca="false">IF(H873="","",C873&amp;"|"&amp;(COUNTIFS($C$2:$C$1000,C873,$H$2:$H$1000,"&gt;"&amp;H873)+1))</f>
        <v/>
      </c>
    </row>
    <row r="874" customFormat="false" ht="15" hidden="false" customHeight="false" outlineLevel="0" collapsed="false">
      <c r="A874" s="8" t="str">
        <f aca="false">IF(F874="","",COUNTIF($F$2:$F$1000,"&gt;"&amp;F874)+1)</f>
        <v/>
      </c>
      <c r="B874" s="9"/>
      <c r="C874" s="10"/>
      <c r="D874" s="11" t="str">
        <f aca="false">IF(C874="","",IFERROR(INDEX(Summary!$B$2:$B$14,MATCH(C874,Summary!$A$2:$A$14,0)),"?"))</f>
        <v/>
      </c>
      <c r="E874" s="11" t="str">
        <f aca="false">IF(C874="","",IFERROR(INDEX(Summary!$C$2:$C$14,MATCH(C874,Summary!$A$2:$A$14,0)),"?"))</f>
        <v/>
      </c>
      <c r="F874" s="12"/>
      <c r="H874" s="0" t="str">
        <f aca="false">IF(OR(B874="",F874=""),"",F874-ROW()/100000)</f>
        <v/>
      </c>
      <c r="I874" s="0" t="str">
        <f aca="false">IF(H874="","",C874&amp;"|"&amp;(COUNTIFS($C$2:$C$1000,C874,$H$2:$H$1000,"&gt;"&amp;H874)+1))</f>
        <v/>
      </c>
    </row>
    <row r="875" customFormat="false" ht="15" hidden="false" customHeight="false" outlineLevel="0" collapsed="false">
      <c r="A875" s="8" t="str">
        <f aca="false">IF(F875="","",COUNTIF($F$2:$F$1000,"&gt;"&amp;F875)+1)</f>
        <v/>
      </c>
      <c r="B875" s="9"/>
      <c r="C875" s="10"/>
      <c r="D875" s="11" t="str">
        <f aca="false">IF(C875="","",IFERROR(INDEX(Summary!$B$2:$B$14,MATCH(C875,Summary!$A$2:$A$14,0)),"?"))</f>
        <v/>
      </c>
      <c r="E875" s="11" t="str">
        <f aca="false">IF(C875="","",IFERROR(INDEX(Summary!$C$2:$C$14,MATCH(C875,Summary!$A$2:$A$14,0)),"?"))</f>
        <v/>
      </c>
      <c r="F875" s="12"/>
      <c r="H875" s="0" t="str">
        <f aca="false">IF(OR(B875="",F875=""),"",F875-ROW()/100000)</f>
        <v/>
      </c>
      <c r="I875" s="0" t="str">
        <f aca="false">IF(H875="","",C875&amp;"|"&amp;(COUNTIFS($C$2:$C$1000,C875,$H$2:$H$1000,"&gt;"&amp;H875)+1))</f>
        <v/>
      </c>
    </row>
    <row r="876" customFormat="false" ht="15" hidden="false" customHeight="false" outlineLevel="0" collapsed="false">
      <c r="A876" s="8" t="str">
        <f aca="false">IF(F876="","",COUNTIF($F$2:$F$1000,"&gt;"&amp;F876)+1)</f>
        <v/>
      </c>
      <c r="B876" s="9"/>
      <c r="C876" s="10"/>
      <c r="D876" s="11" t="str">
        <f aca="false">IF(C876="","",IFERROR(INDEX(Summary!$B$2:$B$14,MATCH(C876,Summary!$A$2:$A$14,0)),"?"))</f>
        <v/>
      </c>
      <c r="E876" s="11" t="str">
        <f aca="false">IF(C876="","",IFERROR(INDEX(Summary!$C$2:$C$14,MATCH(C876,Summary!$A$2:$A$14,0)),"?"))</f>
        <v/>
      </c>
      <c r="F876" s="12"/>
      <c r="H876" s="0" t="str">
        <f aca="false">IF(OR(B876="",F876=""),"",F876-ROW()/100000)</f>
        <v/>
      </c>
      <c r="I876" s="0" t="str">
        <f aca="false">IF(H876="","",C876&amp;"|"&amp;(COUNTIFS($C$2:$C$1000,C876,$H$2:$H$1000,"&gt;"&amp;H876)+1))</f>
        <v/>
      </c>
    </row>
    <row r="877" customFormat="false" ht="15" hidden="false" customHeight="false" outlineLevel="0" collapsed="false">
      <c r="A877" s="8" t="str">
        <f aca="false">IF(F877="","",COUNTIF($F$2:$F$1000,"&gt;"&amp;F877)+1)</f>
        <v/>
      </c>
      <c r="B877" s="9"/>
      <c r="C877" s="10"/>
      <c r="D877" s="11" t="str">
        <f aca="false">IF(C877="","",IFERROR(INDEX(Summary!$B$2:$B$14,MATCH(C877,Summary!$A$2:$A$14,0)),"?"))</f>
        <v/>
      </c>
      <c r="E877" s="11" t="str">
        <f aca="false">IF(C877="","",IFERROR(INDEX(Summary!$C$2:$C$14,MATCH(C877,Summary!$A$2:$A$14,0)),"?"))</f>
        <v/>
      </c>
      <c r="F877" s="12"/>
      <c r="H877" s="0" t="str">
        <f aca="false">IF(OR(B877="",F877=""),"",F877-ROW()/100000)</f>
        <v/>
      </c>
      <c r="I877" s="0" t="str">
        <f aca="false">IF(H877="","",C877&amp;"|"&amp;(COUNTIFS($C$2:$C$1000,C877,$H$2:$H$1000,"&gt;"&amp;H877)+1))</f>
        <v/>
      </c>
    </row>
    <row r="878" customFormat="false" ht="15" hidden="false" customHeight="false" outlineLevel="0" collapsed="false">
      <c r="A878" s="8" t="str">
        <f aca="false">IF(F878="","",COUNTIF($F$2:$F$1000,"&gt;"&amp;F878)+1)</f>
        <v/>
      </c>
      <c r="B878" s="9"/>
      <c r="C878" s="10"/>
      <c r="D878" s="11" t="str">
        <f aca="false">IF(C878="","",IFERROR(INDEX(Summary!$B$2:$B$14,MATCH(C878,Summary!$A$2:$A$14,0)),"?"))</f>
        <v/>
      </c>
      <c r="E878" s="11" t="str">
        <f aca="false">IF(C878="","",IFERROR(INDEX(Summary!$C$2:$C$14,MATCH(C878,Summary!$A$2:$A$14,0)),"?"))</f>
        <v/>
      </c>
      <c r="F878" s="12"/>
      <c r="H878" s="0" t="str">
        <f aca="false">IF(OR(B878="",F878=""),"",F878-ROW()/100000)</f>
        <v/>
      </c>
      <c r="I878" s="0" t="str">
        <f aca="false">IF(H878="","",C878&amp;"|"&amp;(COUNTIFS($C$2:$C$1000,C878,$H$2:$H$1000,"&gt;"&amp;H878)+1))</f>
        <v/>
      </c>
    </row>
    <row r="879" customFormat="false" ht="15" hidden="false" customHeight="false" outlineLevel="0" collapsed="false">
      <c r="A879" s="8" t="str">
        <f aca="false">IF(F879="","",COUNTIF($F$2:$F$1000,"&gt;"&amp;F879)+1)</f>
        <v/>
      </c>
      <c r="B879" s="9"/>
      <c r="C879" s="10"/>
      <c r="D879" s="11" t="str">
        <f aca="false">IF(C879="","",IFERROR(INDEX(Summary!$B$2:$B$14,MATCH(C879,Summary!$A$2:$A$14,0)),"?"))</f>
        <v/>
      </c>
      <c r="E879" s="11" t="str">
        <f aca="false">IF(C879="","",IFERROR(INDEX(Summary!$C$2:$C$14,MATCH(C879,Summary!$A$2:$A$14,0)),"?"))</f>
        <v/>
      </c>
      <c r="F879" s="12"/>
      <c r="H879" s="0" t="str">
        <f aca="false">IF(OR(B879="",F879=""),"",F879-ROW()/100000)</f>
        <v/>
      </c>
      <c r="I879" s="0" t="str">
        <f aca="false">IF(H879="","",C879&amp;"|"&amp;(COUNTIFS($C$2:$C$1000,C879,$H$2:$H$1000,"&gt;"&amp;H879)+1))</f>
        <v/>
      </c>
    </row>
    <row r="880" customFormat="false" ht="15" hidden="false" customHeight="false" outlineLevel="0" collapsed="false">
      <c r="A880" s="8" t="str">
        <f aca="false">IF(F880="","",COUNTIF($F$2:$F$1000,"&gt;"&amp;F880)+1)</f>
        <v/>
      </c>
      <c r="B880" s="9"/>
      <c r="C880" s="10"/>
      <c r="D880" s="11" t="str">
        <f aca="false">IF(C880="","",IFERROR(INDEX(Summary!$B$2:$B$14,MATCH(C880,Summary!$A$2:$A$14,0)),"?"))</f>
        <v/>
      </c>
      <c r="E880" s="11" t="str">
        <f aca="false">IF(C880="","",IFERROR(INDEX(Summary!$C$2:$C$14,MATCH(C880,Summary!$A$2:$A$14,0)),"?"))</f>
        <v/>
      </c>
      <c r="F880" s="12"/>
      <c r="H880" s="0" t="str">
        <f aca="false">IF(OR(B880="",F880=""),"",F880-ROW()/100000)</f>
        <v/>
      </c>
      <c r="I880" s="0" t="str">
        <f aca="false">IF(H880="","",C880&amp;"|"&amp;(COUNTIFS($C$2:$C$1000,C880,$H$2:$H$1000,"&gt;"&amp;H880)+1))</f>
        <v/>
      </c>
    </row>
    <row r="881" customFormat="false" ht="15" hidden="false" customHeight="false" outlineLevel="0" collapsed="false">
      <c r="A881" s="8" t="str">
        <f aca="false">IF(F881="","",COUNTIF($F$2:$F$1000,"&gt;"&amp;F881)+1)</f>
        <v/>
      </c>
      <c r="B881" s="9"/>
      <c r="C881" s="10"/>
      <c r="D881" s="11" t="str">
        <f aca="false">IF(C881="","",IFERROR(INDEX(Summary!$B$2:$B$14,MATCH(C881,Summary!$A$2:$A$14,0)),"?"))</f>
        <v/>
      </c>
      <c r="E881" s="11" t="str">
        <f aca="false">IF(C881="","",IFERROR(INDEX(Summary!$C$2:$C$14,MATCH(C881,Summary!$A$2:$A$14,0)),"?"))</f>
        <v/>
      </c>
      <c r="F881" s="12"/>
      <c r="H881" s="0" t="str">
        <f aca="false">IF(OR(B881="",F881=""),"",F881-ROW()/100000)</f>
        <v/>
      </c>
      <c r="I881" s="0" t="str">
        <f aca="false">IF(H881="","",C881&amp;"|"&amp;(COUNTIFS($C$2:$C$1000,C881,$H$2:$H$1000,"&gt;"&amp;H881)+1))</f>
        <v/>
      </c>
    </row>
    <row r="882" customFormat="false" ht="15" hidden="false" customHeight="false" outlineLevel="0" collapsed="false">
      <c r="A882" s="8" t="str">
        <f aca="false">IF(F882="","",COUNTIF($F$2:$F$1000,"&gt;"&amp;F882)+1)</f>
        <v/>
      </c>
      <c r="B882" s="9"/>
      <c r="C882" s="10"/>
      <c r="D882" s="11" t="str">
        <f aca="false">IF(C882="","",IFERROR(INDEX(Summary!$B$2:$B$14,MATCH(C882,Summary!$A$2:$A$14,0)),"?"))</f>
        <v/>
      </c>
      <c r="E882" s="11" t="str">
        <f aca="false">IF(C882="","",IFERROR(INDEX(Summary!$C$2:$C$14,MATCH(C882,Summary!$A$2:$A$14,0)),"?"))</f>
        <v/>
      </c>
      <c r="F882" s="12"/>
      <c r="H882" s="0" t="str">
        <f aca="false">IF(OR(B882="",F882=""),"",F882-ROW()/100000)</f>
        <v/>
      </c>
      <c r="I882" s="0" t="str">
        <f aca="false">IF(H882="","",C882&amp;"|"&amp;(COUNTIFS($C$2:$C$1000,C882,$H$2:$H$1000,"&gt;"&amp;H882)+1))</f>
        <v/>
      </c>
    </row>
    <row r="883" customFormat="false" ht="15" hidden="false" customHeight="false" outlineLevel="0" collapsed="false">
      <c r="A883" s="8" t="str">
        <f aca="false">IF(F883="","",COUNTIF($F$2:$F$1000,"&gt;"&amp;F883)+1)</f>
        <v/>
      </c>
      <c r="B883" s="9"/>
      <c r="C883" s="10"/>
      <c r="D883" s="11" t="str">
        <f aca="false">IF(C883="","",IFERROR(INDEX(Summary!$B$2:$B$14,MATCH(C883,Summary!$A$2:$A$14,0)),"?"))</f>
        <v/>
      </c>
      <c r="E883" s="11" t="str">
        <f aca="false">IF(C883="","",IFERROR(INDEX(Summary!$C$2:$C$14,MATCH(C883,Summary!$A$2:$A$14,0)),"?"))</f>
        <v/>
      </c>
      <c r="F883" s="12"/>
      <c r="H883" s="0" t="str">
        <f aca="false">IF(OR(B883="",F883=""),"",F883-ROW()/100000)</f>
        <v/>
      </c>
      <c r="I883" s="0" t="str">
        <f aca="false">IF(H883="","",C883&amp;"|"&amp;(COUNTIFS($C$2:$C$1000,C883,$H$2:$H$1000,"&gt;"&amp;H883)+1))</f>
        <v/>
      </c>
    </row>
    <row r="884" customFormat="false" ht="15" hidden="false" customHeight="false" outlineLevel="0" collapsed="false">
      <c r="A884" s="8" t="str">
        <f aca="false">IF(F884="","",COUNTIF($F$2:$F$1000,"&gt;"&amp;F884)+1)</f>
        <v/>
      </c>
      <c r="B884" s="9"/>
      <c r="C884" s="10"/>
      <c r="D884" s="11" t="str">
        <f aca="false">IF(C884="","",IFERROR(INDEX(Summary!$B$2:$B$14,MATCH(C884,Summary!$A$2:$A$14,0)),"?"))</f>
        <v/>
      </c>
      <c r="E884" s="11" t="str">
        <f aca="false">IF(C884="","",IFERROR(INDEX(Summary!$C$2:$C$14,MATCH(C884,Summary!$A$2:$A$14,0)),"?"))</f>
        <v/>
      </c>
      <c r="F884" s="12"/>
      <c r="H884" s="0" t="str">
        <f aca="false">IF(OR(B884="",F884=""),"",F884-ROW()/100000)</f>
        <v/>
      </c>
      <c r="I884" s="0" t="str">
        <f aca="false">IF(H884="","",C884&amp;"|"&amp;(COUNTIFS($C$2:$C$1000,C884,$H$2:$H$1000,"&gt;"&amp;H884)+1))</f>
        <v/>
      </c>
    </row>
    <row r="885" customFormat="false" ht="15" hidden="false" customHeight="false" outlineLevel="0" collapsed="false">
      <c r="A885" s="8" t="str">
        <f aca="false">IF(F885="","",COUNTIF($F$2:$F$1000,"&gt;"&amp;F885)+1)</f>
        <v/>
      </c>
      <c r="B885" s="9"/>
      <c r="C885" s="10"/>
      <c r="D885" s="11" t="str">
        <f aca="false">IF(C885="","",IFERROR(INDEX(Summary!$B$2:$B$14,MATCH(C885,Summary!$A$2:$A$14,0)),"?"))</f>
        <v/>
      </c>
      <c r="E885" s="11" t="str">
        <f aca="false">IF(C885="","",IFERROR(INDEX(Summary!$C$2:$C$14,MATCH(C885,Summary!$A$2:$A$14,0)),"?"))</f>
        <v/>
      </c>
      <c r="F885" s="12"/>
      <c r="H885" s="0" t="str">
        <f aca="false">IF(OR(B885="",F885=""),"",F885-ROW()/100000)</f>
        <v/>
      </c>
      <c r="I885" s="0" t="str">
        <f aca="false">IF(H885="","",C885&amp;"|"&amp;(COUNTIFS($C$2:$C$1000,C885,$H$2:$H$1000,"&gt;"&amp;H885)+1))</f>
        <v/>
      </c>
    </row>
    <row r="886" customFormat="false" ht="15" hidden="false" customHeight="false" outlineLevel="0" collapsed="false">
      <c r="A886" s="8" t="str">
        <f aca="false">IF(F886="","",COUNTIF($F$2:$F$1000,"&gt;"&amp;F886)+1)</f>
        <v/>
      </c>
      <c r="B886" s="9"/>
      <c r="C886" s="10"/>
      <c r="D886" s="11" t="str">
        <f aca="false">IF(C886="","",IFERROR(INDEX(Summary!$B$2:$B$14,MATCH(C886,Summary!$A$2:$A$14,0)),"?"))</f>
        <v/>
      </c>
      <c r="E886" s="11" t="str">
        <f aca="false">IF(C886="","",IFERROR(INDEX(Summary!$C$2:$C$14,MATCH(C886,Summary!$A$2:$A$14,0)),"?"))</f>
        <v/>
      </c>
      <c r="F886" s="12"/>
      <c r="H886" s="0" t="str">
        <f aca="false">IF(OR(B886="",F886=""),"",F886-ROW()/100000)</f>
        <v/>
      </c>
      <c r="I886" s="0" t="str">
        <f aca="false">IF(H886="","",C886&amp;"|"&amp;(COUNTIFS($C$2:$C$1000,C886,$H$2:$H$1000,"&gt;"&amp;H886)+1))</f>
        <v/>
      </c>
    </row>
    <row r="887" customFormat="false" ht="15" hidden="false" customHeight="false" outlineLevel="0" collapsed="false">
      <c r="A887" s="8" t="str">
        <f aca="false">IF(F887="","",COUNTIF($F$2:$F$1000,"&gt;"&amp;F887)+1)</f>
        <v/>
      </c>
      <c r="B887" s="9"/>
      <c r="C887" s="10"/>
      <c r="D887" s="11" t="str">
        <f aca="false">IF(C887="","",IFERROR(INDEX(Summary!$B$2:$B$14,MATCH(C887,Summary!$A$2:$A$14,0)),"?"))</f>
        <v/>
      </c>
      <c r="E887" s="11" t="str">
        <f aca="false">IF(C887="","",IFERROR(INDEX(Summary!$C$2:$C$14,MATCH(C887,Summary!$A$2:$A$14,0)),"?"))</f>
        <v/>
      </c>
      <c r="F887" s="12"/>
      <c r="H887" s="0" t="str">
        <f aca="false">IF(OR(B887="",F887=""),"",F887-ROW()/100000)</f>
        <v/>
      </c>
      <c r="I887" s="0" t="str">
        <f aca="false">IF(H887="","",C887&amp;"|"&amp;(COUNTIFS($C$2:$C$1000,C887,$H$2:$H$1000,"&gt;"&amp;H887)+1))</f>
        <v/>
      </c>
    </row>
    <row r="888" customFormat="false" ht="15" hidden="false" customHeight="false" outlineLevel="0" collapsed="false">
      <c r="A888" s="8" t="str">
        <f aca="false">IF(F888="","",COUNTIF($F$2:$F$1000,"&gt;"&amp;F888)+1)</f>
        <v/>
      </c>
      <c r="B888" s="9"/>
      <c r="C888" s="10"/>
      <c r="D888" s="11" t="str">
        <f aca="false">IF(C888="","",IFERROR(INDEX(Summary!$B$2:$B$14,MATCH(C888,Summary!$A$2:$A$14,0)),"?"))</f>
        <v/>
      </c>
      <c r="E888" s="11" t="str">
        <f aca="false">IF(C888="","",IFERROR(INDEX(Summary!$C$2:$C$14,MATCH(C888,Summary!$A$2:$A$14,0)),"?"))</f>
        <v/>
      </c>
      <c r="F888" s="12"/>
      <c r="H888" s="0" t="str">
        <f aca="false">IF(OR(B888="",F888=""),"",F888-ROW()/100000)</f>
        <v/>
      </c>
      <c r="I888" s="0" t="str">
        <f aca="false">IF(H888="","",C888&amp;"|"&amp;(COUNTIFS($C$2:$C$1000,C888,$H$2:$H$1000,"&gt;"&amp;H888)+1))</f>
        <v/>
      </c>
    </row>
    <row r="889" customFormat="false" ht="15" hidden="false" customHeight="false" outlineLevel="0" collapsed="false">
      <c r="A889" s="8" t="str">
        <f aca="false">IF(F889="","",COUNTIF($F$2:$F$1000,"&gt;"&amp;F889)+1)</f>
        <v/>
      </c>
      <c r="B889" s="9"/>
      <c r="C889" s="10"/>
      <c r="D889" s="11" t="str">
        <f aca="false">IF(C889="","",IFERROR(INDEX(Summary!$B$2:$B$14,MATCH(C889,Summary!$A$2:$A$14,0)),"?"))</f>
        <v/>
      </c>
      <c r="E889" s="11" t="str">
        <f aca="false">IF(C889="","",IFERROR(INDEX(Summary!$C$2:$C$14,MATCH(C889,Summary!$A$2:$A$14,0)),"?"))</f>
        <v/>
      </c>
      <c r="F889" s="12"/>
      <c r="H889" s="0" t="str">
        <f aca="false">IF(OR(B889="",F889=""),"",F889-ROW()/100000)</f>
        <v/>
      </c>
      <c r="I889" s="0" t="str">
        <f aca="false">IF(H889="","",C889&amp;"|"&amp;(COUNTIFS($C$2:$C$1000,C889,$H$2:$H$1000,"&gt;"&amp;H889)+1))</f>
        <v/>
      </c>
    </row>
    <row r="890" customFormat="false" ht="15" hidden="false" customHeight="false" outlineLevel="0" collapsed="false">
      <c r="A890" s="8" t="str">
        <f aca="false">IF(F890="","",COUNTIF($F$2:$F$1000,"&gt;"&amp;F890)+1)</f>
        <v/>
      </c>
      <c r="B890" s="9"/>
      <c r="C890" s="10"/>
      <c r="D890" s="11" t="str">
        <f aca="false">IF(C890="","",IFERROR(INDEX(Summary!$B$2:$B$14,MATCH(C890,Summary!$A$2:$A$14,0)),"?"))</f>
        <v/>
      </c>
      <c r="E890" s="11" t="str">
        <f aca="false">IF(C890="","",IFERROR(INDEX(Summary!$C$2:$C$14,MATCH(C890,Summary!$A$2:$A$14,0)),"?"))</f>
        <v/>
      </c>
      <c r="F890" s="12"/>
      <c r="H890" s="0" t="str">
        <f aca="false">IF(OR(B890="",F890=""),"",F890-ROW()/100000)</f>
        <v/>
      </c>
      <c r="I890" s="0" t="str">
        <f aca="false">IF(H890="","",C890&amp;"|"&amp;(COUNTIFS($C$2:$C$1000,C890,$H$2:$H$1000,"&gt;"&amp;H890)+1))</f>
        <v/>
      </c>
    </row>
    <row r="891" customFormat="false" ht="15" hidden="false" customHeight="false" outlineLevel="0" collapsed="false">
      <c r="A891" s="8" t="str">
        <f aca="false">IF(F891="","",COUNTIF($F$2:$F$1000,"&gt;"&amp;F891)+1)</f>
        <v/>
      </c>
      <c r="B891" s="9"/>
      <c r="C891" s="10"/>
      <c r="D891" s="11" t="str">
        <f aca="false">IF(C891="","",IFERROR(INDEX(Summary!$B$2:$B$14,MATCH(C891,Summary!$A$2:$A$14,0)),"?"))</f>
        <v/>
      </c>
      <c r="E891" s="11" t="str">
        <f aca="false">IF(C891="","",IFERROR(INDEX(Summary!$C$2:$C$14,MATCH(C891,Summary!$A$2:$A$14,0)),"?"))</f>
        <v/>
      </c>
      <c r="F891" s="12"/>
      <c r="H891" s="0" t="str">
        <f aca="false">IF(OR(B891="",F891=""),"",F891-ROW()/100000)</f>
        <v/>
      </c>
      <c r="I891" s="0" t="str">
        <f aca="false">IF(H891="","",C891&amp;"|"&amp;(COUNTIFS($C$2:$C$1000,C891,$H$2:$H$1000,"&gt;"&amp;H891)+1))</f>
        <v/>
      </c>
    </row>
    <row r="892" customFormat="false" ht="15" hidden="false" customHeight="false" outlineLevel="0" collapsed="false">
      <c r="A892" s="8" t="str">
        <f aca="false">IF(F892="","",COUNTIF($F$2:$F$1000,"&gt;"&amp;F892)+1)</f>
        <v/>
      </c>
      <c r="B892" s="9"/>
      <c r="C892" s="10"/>
      <c r="D892" s="11" t="str">
        <f aca="false">IF(C892="","",IFERROR(INDEX(Summary!$B$2:$B$14,MATCH(C892,Summary!$A$2:$A$14,0)),"?"))</f>
        <v/>
      </c>
      <c r="E892" s="11" t="str">
        <f aca="false">IF(C892="","",IFERROR(INDEX(Summary!$C$2:$C$14,MATCH(C892,Summary!$A$2:$A$14,0)),"?"))</f>
        <v/>
      </c>
      <c r="F892" s="12"/>
      <c r="H892" s="0" t="str">
        <f aca="false">IF(OR(B892="",F892=""),"",F892-ROW()/100000)</f>
        <v/>
      </c>
      <c r="I892" s="0" t="str">
        <f aca="false">IF(H892="","",C892&amp;"|"&amp;(COUNTIFS($C$2:$C$1000,C892,$H$2:$H$1000,"&gt;"&amp;H892)+1))</f>
        <v/>
      </c>
    </row>
    <row r="893" customFormat="false" ht="15" hidden="false" customHeight="false" outlineLevel="0" collapsed="false">
      <c r="A893" s="8" t="str">
        <f aca="false">IF(F893="","",COUNTIF($F$2:$F$1000,"&gt;"&amp;F893)+1)</f>
        <v/>
      </c>
      <c r="B893" s="9"/>
      <c r="C893" s="10"/>
      <c r="D893" s="11" t="str">
        <f aca="false">IF(C893="","",IFERROR(INDEX(Summary!$B$2:$B$14,MATCH(C893,Summary!$A$2:$A$14,0)),"?"))</f>
        <v/>
      </c>
      <c r="E893" s="11" t="str">
        <f aca="false">IF(C893="","",IFERROR(INDEX(Summary!$C$2:$C$14,MATCH(C893,Summary!$A$2:$A$14,0)),"?"))</f>
        <v/>
      </c>
      <c r="F893" s="12"/>
      <c r="H893" s="0" t="str">
        <f aca="false">IF(OR(B893="",F893=""),"",F893-ROW()/100000)</f>
        <v/>
      </c>
      <c r="I893" s="0" t="str">
        <f aca="false">IF(H893="","",C893&amp;"|"&amp;(COUNTIFS($C$2:$C$1000,C893,$H$2:$H$1000,"&gt;"&amp;H893)+1))</f>
        <v/>
      </c>
    </row>
    <row r="894" customFormat="false" ht="15" hidden="false" customHeight="false" outlineLevel="0" collapsed="false">
      <c r="A894" s="8" t="str">
        <f aca="false">IF(F894="","",COUNTIF($F$2:$F$1000,"&gt;"&amp;F894)+1)</f>
        <v/>
      </c>
      <c r="B894" s="9"/>
      <c r="C894" s="10"/>
      <c r="D894" s="11" t="str">
        <f aca="false">IF(C894="","",IFERROR(INDEX(Summary!$B$2:$B$14,MATCH(C894,Summary!$A$2:$A$14,0)),"?"))</f>
        <v/>
      </c>
      <c r="E894" s="11" t="str">
        <f aca="false">IF(C894="","",IFERROR(INDEX(Summary!$C$2:$C$14,MATCH(C894,Summary!$A$2:$A$14,0)),"?"))</f>
        <v/>
      </c>
      <c r="F894" s="12"/>
      <c r="H894" s="0" t="str">
        <f aca="false">IF(OR(B894="",F894=""),"",F894-ROW()/100000)</f>
        <v/>
      </c>
      <c r="I894" s="0" t="str">
        <f aca="false">IF(H894="","",C894&amp;"|"&amp;(COUNTIFS($C$2:$C$1000,C894,$H$2:$H$1000,"&gt;"&amp;H894)+1))</f>
        <v/>
      </c>
    </row>
    <row r="895" customFormat="false" ht="15" hidden="false" customHeight="false" outlineLevel="0" collapsed="false">
      <c r="A895" s="8" t="str">
        <f aca="false">IF(F895="","",COUNTIF($F$2:$F$1000,"&gt;"&amp;F895)+1)</f>
        <v/>
      </c>
      <c r="B895" s="9"/>
      <c r="C895" s="10"/>
      <c r="D895" s="11" t="str">
        <f aca="false">IF(C895="","",IFERROR(INDEX(Summary!$B$2:$B$14,MATCH(C895,Summary!$A$2:$A$14,0)),"?"))</f>
        <v/>
      </c>
      <c r="E895" s="11" t="str">
        <f aca="false">IF(C895="","",IFERROR(INDEX(Summary!$C$2:$C$14,MATCH(C895,Summary!$A$2:$A$14,0)),"?"))</f>
        <v/>
      </c>
      <c r="F895" s="12"/>
      <c r="H895" s="0" t="str">
        <f aca="false">IF(OR(B895="",F895=""),"",F895-ROW()/100000)</f>
        <v/>
      </c>
      <c r="I895" s="0" t="str">
        <f aca="false">IF(H895="","",C895&amp;"|"&amp;(COUNTIFS($C$2:$C$1000,C895,$H$2:$H$1000,"&gt;"&amp;H895)+1))</f>
        <v/>
      </c>
    </row>
    <row r="896" customFormat="false" ht="15" hidden="false" customHeight="false" outlineLevel="0" collapsed="false">
      <c r="A896" s="8" t="str">
        <f aca="false">IF(F896="","",COUNTIF($F$2:$F$1000,"&gt;"&amp;F896)+1)</f>
        <v/>
      </c>
      <c r="B896" s="9"/>
      <c r="C896" s="10"/>
      <c r="D896" s="11" t="str">
        <f aca="false">IF(C896="","",IFERROR(INDEX(Summary!$B$2:$B$14,MATCH(C896,Summary!$A$2:$A$14,0)),"?"))</f>
        <v/>
      </c>
      <c r="E896" s="11" t="str">
        <f aca="false">IF(C896="","",IFERROR(INDEX(Summary!$C$2:$C$14,MATCH(C896,Summary!$A$2:$A$14,0)),"?"))</f>
        <v/>
      </c>
      <c r="F896" s="12"/>
      <c r="H896" s="0" t="str">
        <f aca="false">IF(OR(B896="",F896=""),"",F896-ROW()/100000)</f>
        <v/>
      </c>
      <c r="I896" s="0" t="str">
        <f aca="false">IF(H896="","",C896&amp;"|"&amp;(COUNTIFS($C$2:$C$1000,C896,$H$2:$H$1000,"&gt;"&amp;H896)+1))</f>
        <v/>
      </c>
    </row>
    <row r="897" customFormat="false" ht="15" hidden="false" customHeight="false" outlineLevel="0" collapsed="false">
      <c r="A897" s="8" t="str">
        <f aca="false">IF(F897="","",COUNTIF($F$2:$F$1000,"&gt;"&amp;F897)+1)</f>
        <v/>
      </c>
      <c r="B897" s="9"/>
      <c r="C897" s="10"/>
      <c r="D897" s="11" t="str">
        <f aca="false">IF(C897="","",IFERROR(INDEX(Summary!$B$2:$B$14,MATCH(C897,Summary!$A$2:$A$14,0)),"?"))</f>
        <v/>
      </c>
      <c r="E897" s="11" t="str">
        <f aca="false">IF(C897="","",IFERROR(INDEX(Summary!$C$2:$C$14,MATCH(C897,Summary!$A$2:$A$14,0)),"?"))</f>
        <v/>
      </c>
      <c r="F897" s="12"/>
      <c r="H897" s="0" t="str">
        <f aca="false">IF(OR(B897="",F897=""),"",F897-ROW()/100000)</f>
        <v/>
      </c>
      <c r="I897" s="0" t="str">
        <f aca="false">IF(H897="","",C897&amp;"|"&amp;(COUNTIFS($C$2:$C$1000,C897,$H$2:$H$1000,"&gt;"&amp;H897)+1))</f>
        <v/>
      </c>
    </row>
    <row r="898" customFormat="false" ht="15" hidden="false" customHeight="false" outlineLevel="0" collapsed="false">
      <c r="A898" s="8" t="str">
        <f aca="false">IF(F898="","",COUNTIF($F$2:$F$1000,"&gt;"&amp;F898)+1)</f>
        <v/>
      </c>
      <c r="B898" s="9"/>
      <c r="C898" s="10"/>
      <c r="D898" s="11" t="str">
        <f aca="false">IF(C898="","",IFERROR(INDEX(Summary!$B$2:$B$14,MATCH(C898,Summary!$A$2:$A$14,0)),"?"))</f>
        <v/>
      </c>
      <c r="E898" s="11" t="str">
        <f aca="false">IF(C898="","",IFERROR(INDEX(Summary!$C$2:$C$14,MATCH(C898,Summary!$A$2:$A$14,0)),"?"))</f>
        <v/>
      </c>
      <c r="F898" s="12"/>
      <c r="H898" s="0" t="str">
        <f aca="false">IF(OR(B898="",F898=""),"",F898-ROW()/100000)</f>
        <v/>
      </c>
      <c r="I898" s="0" t="str">
        <f aca="false">IF(H898="","",C898&amp;"|"&amp;(COUNTIFS($C$2:$C$1000,C898,$H$2:$H$1000,"&gt;"&amp;H898)+1))</f>
        <v/>
      </c>
    </row>
    <row r="899" customFormat="false" ht="15" hidden="false" customHeight="false" outlineLevel="0" collapsed="false">
      <c r="A899" s="8" t="str">
        <f aca="false">IF(F899="","",COUNTIF($F$2:$F$1000,"&gt;"&amp;F899)+1)</f>
        <v/>
      </c>
      <c r="B899" s="9"/>
      <c r="C899" s="10"/>
      <c r="D899" s="11" t="str">
        <f aca="false">IF(C899="","",IFERROR(INDEX(Summary!$B$2:$B$14,MATCH(C899,Summary!$A$2:$A$14,0)),"?"))</f>
        <v/>
      </c>
      <c r="E899" s="11" t="str">
        <f aca="false">IF(C899="","",IFERROR(INDEX(Summary!$C$2:$C$14,MATCH(C899,Summary!$A$2:$A$14,0)),"?"))</f>
        <v/>
      </c>
      <c r="F899" s="12"/>
      <c r="H899" s="0" t="str">
        <f aca="false">IF(OR(B899="",F899=""),"",F899-ROW()/100000)</f>
        <v/>
      </c>
      <c r="I899" s="0" t="str">
        <f aca="false">IF(H899="","",C899&amp;"|"&amp;(COUNTIFS($C$2:$C$1000,C899,$H$2:$H$1000,"&gt;"&amp;H899)+1))</f>
        <v/>
      </c>
    </row>
    <row r="900" customFormat="false" ht="15" hidden="false" customHeight="false" outlineLevel="0" collapsed="false">
      <c r="A900" s="8" t="str">
        <f aca="false">IF(F900="","",COUNTIF($F$2:$F$1000,"&gt;"&amp;F900)+1)</f>
        <v/>
      </c>
      <c r="B900" s="9"/>
      <c r="C900" s="10"/>
      <c r="D900" s="11" t="str">
        <f aca="false">IF(C900="","",IFERROR(INDEX(Summary!$B$2:$B$14,MATCH(C900,Summary!$A$2:$A$14,0)),"?"))</f>
        <v/>
      </c>
      <c r="E900" s="11" t="str">
        <f aca="false">IF(C900="","",IFERROR(INDEX(Summary!$C$2:$C$14,MATCH(C900,Summary!$A$2:$A$14,0)),"?"))</f>
        <v/>
      </c>
      <c r="F900" s="12"/>
      <c r="H900" s="0" t="str">
        <f aca="false">IF(OR(B900="",F900=""),"",F900-ROW()/100000)</f>
        <v/>
      </c>
      <c r="I900" s="0" t="str">
        <f aca="false">IF(H900="","",C900&amp;"|"&amp;(COUNTIFS($C$2:$C$1000,C900,$H$2:$H$1000,"&gt;"&amp;H900)+1))</f>
        <v/>
      </c>
    </row>
    <row r="901" customFormat="false" ht="15" hidden="false" customHeight="false" outlineLevel="0" collapsed="false">
      <c r="A901" s="8" t="str">
        <f aca="false">IF(F901="","",COUNTIF($F$2:$F$1000,"&gt;"&amp;F901)+1)</f>
        <v/>
      </c>
      <c r="B901" s="9"/>
      <c r="C901" s="10"/>
      <c r="D901" s="11" t="str">
        <f aca="false">IF(C901="","",IFERROR(INDEX(Summary!$B$2:$B$14,MATCH(C901,Summary!$A$2:$A$14,0)),"?"))</f>
        <v/>
      </c>
      <c r="E901" s="11" t="str">
        <f aca="false">IF(C901="","",IFERROR(INDEX(Summary!$C$2:$C$14,MATCH(C901,Summary!$A$2:$A$14,0)),"?"))</f>
        <v/>
      </c>
      <c r="F901" s="12"/>
      <c r="H901" s="0" t="str">
        <f aca="false">IF(OR(B901="",F901=""),"",F901-ROW()/100000)</f>
        <v/>
      </c>
      <c r="I901" s="0" t="str">
        <f aca="false">IF(H901="","",C901&amp;"|"&amp;(COUNTIFS($C$2:$C$1000,C901,$H$2:$H$1000,"&gt;"&amp;H901)+1))</f>
        <v/>
      </c>
    </row>
    <row r="902" customFormat="false" ht="15" hidden="false" customHeight="false" outlineLevel="0" collapsed="false">
      <c r="A902" s="8" t="str">
        <f aca="false">IF(F902="","",COUNTIF($F$2:$F$1000,"&gt;"&amp;F902)+1)</f>
        <v/>
      </c>
      <c r="B902" s="9"/>
      <c r="C902" s="10"/>
      <c r="D902" s="11" t="str">
        <f aca="false">IF(C902="","",IFERROR(INDEX(Summary!$B$2:$B$14,MATCH(C902,Summary!$A$2:$A$14,0)),"?"))</f>
        <v/>
      </c>
      <c r="E902" s="11" t="str">
        <f aca="false">IF(C902="","",IFERROR(INDEX(Summary!$C$2:$C$14,MATCH(C902,Summary!$A$2:$A$14,0)),"?"))</f>
        <v/>
      </c>
      <c r="F902" s="12"/>
      <c r="H902" s="0" t="str">
        <f aca="false">IF(OR(B902="",F902=""),"",F902-ROW()/100000)</f>
        <v/>
      </c>
      <c r="I902" s="0" t="str">
        <f aca="false">IF(H902="","",C902&amp;"|"&amp;(COUNTIFS($C$2:$C$1000,C902,$H$2:$H$1000,"&gt;"&amp;H902)+1))</f>
        <v/>
      </c>
    </row>
    <row r="903" customFormat="false" ht="15" hidden="false" customHeight="false" outlineLevel="0" collapsed="false">
      <c r="A903" s="8" t="str">
        <f aca="false">IF(F903="","",COUNTIF($F$2:$F$1000,"&gt;"&amp;F903)+1)</f>
        <v/>
      </c>
      <c r="B903" s="9"/>
      <c r="C903" s="10"/>
      <c r="D903" s="11" t="str">
        <f aca="false">IF(C903="","",IFERROR(INDEX(Summary!$B$2:$B$14,MATCH(C903,Summary!$A$2:$A$14,0)),"?"))</f>
        <v/>
      </c>
      <c r="E903" s="11" t="str">
        <f aca="false">IF(C903="","",IFERROR(INDEX(Summary!$C$2:$C$14,MATCH(C903,Summary!$A$2:$A$14,0)),"?"))</f>
        <v/>
      </c>
      <c r="F903" s="12"/>
      <c r="H903" s="0" t="str">
        <f aca="false">IF(OR(B903="",F903=""),"",F903-ROW()/100000)</f>
        <v/>
      </c>
      <c r="I903" s="0" t="str">
        <f aca="false">IF(H903="","",C903&amp;"|"&amp;(COUNTIFS($C$2:$C$1000,C903,$H$2:$H$1000,"&gt;"&amp;H903)+1))</f>
        <v/>
      </c>
    </row>
    <row r="904" customFormat="false" ht="15" hidden="false" customHeight="false" outlineLevel="0" collapsed="false">
      <c r="A904" s="8" t="str">
        <f aca="false">IF(F904="","",COUNTIF($F$2:$F$1000,"&gt;"&amp;F904)+1)</f>
        <v/>
      </c>
      <c r="B904" s="9"/>
      <c r="C904" s="10"/>
      <c r="D904" s="11" t="str">
        <f aca="false">IF(C904="","",IFERROR(INDEX(Summary!$B$2:$B$14,MATCH(C904,Summary!$A$2:$A$14,0)),"?"))</f>
        <v/>
      </c>
      <c r="E904" s="11" t="str">
        <f aca="false">IF(C904="","",IFERROR(INDEX(Summary!$C$2:$C$14,MATCH(C904,Summary!$A$2:$A$14,0)),"?"))</f>
        <v/>
      </c>
      <c r="F904" s="12"/>
      <c r="H904" s="0" t="str">
        <f aca="false">IF(OR(B904="",F904=""),"",F904-ROW()/100000)</f>
        <v/>
      </c>
      <c r="I904" s="0" t="str">
        <f aca="false">IF(H904="","",C904&amp;"|"&amp;(COUNTIFS($C$2:$C$1000,C904,$H$2:$H$1000,"&gt;"&amp;H904)+1))</f>
        <v/>
      </c>
    </row>
    <row r="905" customFormat="false" ht="15" hidden="false" customHeight="false" outlineLevel="0" collapsed="false">
      <c r="A905" s="8" t="str">
        <f aca="false">IF(F905="","",COUNTIF($F$2:$F$1000,"&gt;"&amp;F905)+1)</f>
        <v/>
      </c>
      <c r="B905" s="9"/>
      <c r="C905" s="10"/>
      <c r="D905" s="11" t="str">
        <f aca="false">IF(C905="","",IFERROR(INDEX(Summary!$B$2:$B$14,MATCH(C905,Summary!$A$2:$A$14,0)),"?"))</f>
        <v/>
      </c>
      <c r="E905" s="11" t="str">
        <f aca="false">IF(C905="","",IFERROR(INDEX(Summary!$C$2:$C$14,MATCH(C905,Summary!$A$2:$A$14,0)),"?"))</f>
        <v/>
      </c>
      <c r="F905" s="12"/>
      <c r="H905" s="0" t="str">
        <f aca="false">IF(OR(B905="",F905=""),"",F905-ROW()/100000)</f>
        <v/>
      </c>
      <c r="I905" s="0" t="str">
        <f aca="false">IF(H905="","",C905&amp;"|"&amp;(COUNTIFS($C$2:$C$1000,C905,$H$2:$H$1000,"&gt;"&amp;H905)+1))</f>
        <v/>
      </c>
    </row>
    <row r="906" customFormat="false" ht="15" hidden="false" customHeight="false" outlineLevel="0" collapsed="false">
      <c r="A906" s="8" t="str">
        <f aca="false">IF(F906="","",COUNTIF($F$2:$F$1000,"&gt;"&amp;F906)+1)</f>
        <v/>
      </c>
      <c r="B906" s="9"/>
      <c r="C906" s="10"/>
      <c r="D906" s="11" t="str">
        <f aca="false">IF(C906="","",IFERROR(INDEX(Summary!$B$2:$B$14,MATCH(C906,Summary!$A$2:$A$14,0)),"?"))</f>
        <v/>
      </c>
      <c r="E906" s="11" t="str">
        <f aca="false">IF(C906="","",IFERROR(INDEX(Summary!$C$2:$C$14,MATCH(C906,Summary!$A$2:$A$14,0)),"?"))</f>
        <v/>
      </c>
      <c r="F906" s="12"/>
      <c r="H906" s="0" t="str">
        <f aca="false">IF(OR(B906="",F906=""),"",F906-ROW()/100000)</f>
        <v/>
      </c>
      <c r="I906" s="0" t="str">
        <f aca="false">IF(H906="","",C906&amp;"|"&amp;(COUNTIFS($C$2:$C$1000,C906,$H$2:$H$1000,"&gt;"&amp;H906)+1))</f>
        <v/>
      </c>
    </row>
    <row r="907" customFormat="false" ht="15" hidden="false" customHeight="false" outlineLevel="0" collapsed="false">
      <c r="A907" s="8" t="str">
        <f aca="false">IF(F907="","",COUNTIF($F$2:$F$1000,"&gt;"&amp;F907)+1)</f>
        <v/>
      </c>
      <c r="B907" s="9"/>
      <c r="C907" s="10"/>
      <c r="D907" s="11" t="str">
        <f aca="false">IF(C907="","",IFERROR(INDEX(Summary!$B$2:$B$14,MATCH(C907,Summary!$A$2:$A$14,0)),"?"))</f>
        <v/>
      </c>
      <c r="E907" s="11" t="str">
        <f aca="false">IF(C907="","",IFERROR(INDEX(Summary!$C$2:$C$14,MATCH(C907,Summary!$A$2:$A$14,0)),"?"))</f>
        <v/>
      </c>
      <c r="F907" s="12"/>
      <c r="H907" s="0" t="str">
        <f aca="false">IF(OR(B907="",F907=""),"",F907-ROW()/100000)</f>
        <v/>
      </c>
      <c r="I907" s="0" t="str">
        <f aca="false">IF(H907="","",C907&amp;"|"&amp;(COUNTIFS($C$2:$C$1000,C907,$H$2:$H$1000,"&gt;"&amp;H907)+1))</f>
        <v/>
      </c>
    </row>
    <row r="908" customFormat="false" ht="15" hidden="false" customHeight="false" outlineLevel="0" collapsed="false">
      <c r="A908" s="8" t="str">
        <f aca="false">IF(F908="","",COUNTIF($F$2:$F$1000,"&gt;"&amp;F908)+1)</f>
        <v/>
      </c>
      <c r="B908" s="9"/>
      <c r="C908" s="10"/>
      <c r="D908" s="11" t="str">
        <f aca="false">IF(C908="","",IFERROR(INDEX(Summary!$B$2:$B$14,MATCH(C908,Summary!$A$2:$A$14,0)),"?"))</f>
        <v/>
      </c>
      <c r="E908" s="11" t="str">
        <f aca="false">IF(C908="","",IFERROR(INDEX(Summary!$C$2:$C$14,MATCH(C908,Summary!$A$2:$A$14,0)),"?"))</f>
        <v/>
      </c>
      <c r="F908" s="12"/>
      <c r="H908" s="0" t="str">
        <f aca="false">IF(OR(B908="",F908=""),"",F908-ROW()/100000)</f>
        <v/>
      </c>
      <c r="I908" s="0" t="str">
        <f aca="false">IF(H908="","",C908&amp;"|"&amp;(COUNTIFS($C$2:$C$1000,C908,$H$2:$H$1000,"&gt;"&amp;H908)+1))</f>
        <v/>
      </c>
    </row>
    <row r="909" customFormat="false" ht="15" hidden="false" customHeight="false" outlineLevel="0" collapsed="false">
      <c r="A909" s="8" t="str">
        <f aca="false">IF(F909="","",COUNTIF($F$2:$F$1000,"&gt;"&amp;F909)+1)</f>
        <v/>
      </c>
      <c r="B909" s="9"/>
      <c r="C909" s="10"/>
      <c r="D909" s="11" t="str">
        <f aca="false">IF(C909="","",IFERROR(INDEX(Summary!$B$2:$B$14,MATCH(C909,Summary!$A$2:$A$14,0)),"?"))</f>
        <v/>
      </c>
      <c r="E909" s="11" t="str">
        <f aca="false">IF(C909="","",IFERROR(INDEX(Summary!$C$2:$C$14,MATCH(C909,Summary!$A$2:$A$14,0)),"?"))</f>
        <v/>
      </c>
      <c r="F909" s="12"/>
      <c r="H909" s="0" t="str">
        <f aca="false">IF(OR(B909="",F909=""),"",F909-ROW()/100000)</f>
        <v/>
      </c>
      <c r="I909" s="0" t="str">
        <f aca="false">IF(H909="","",C909&amp;"|"&amp;(COUNTIFS($C$2:$C$1000,C909,$H$2:$H$1000,"&gt;"&amp;H909)+1))</f>
        <v/>
      </c>
    </row>
    <row r="910" customFormat="false" ht="15" hidden="false" customHeight="false" outlineLevel="0" collapsed="false">
      <c r="A910" s="8" t="str">
        <f aca="false">IF(F910="","",COUNTIF($F$2:$F$1000,"&gt;"&amp;F910)+1)</f>
        <v/>
      </c>
      <c r="B910" s="9"/>
      <c r="C910" s="10"/>
      <c r="D910" s="11" t="str">
        <f aca="false">IF(C910="","",IFERROR(INDEX(Summary!$B$2:$B$14,MATCH(C910,Summary!$A$2:$A$14,0)),"?"))</f>
        <v/>
      </c>
      <c r="E910" s="11" t="str">
        <f aca="false">IF(C910="","",IFERROR(INDEX(Summary!$C$2:$C$14,MATCH(C910,Summary!$A$2:$A$14,0)),"?"))</f>
        <v/>
      </c>
      <c r="F910" s="12"/>
      <c r="H910" s="0" t="str">
        <f aca="false">IF(OR(B910="",F910=""),"",F910-ROW()/100000)</f>
        <v/>
      </c>
      <c r="I910" s="0" t="str">
        <f aca="false">IF(H910="","",C910&amp;"|"&amp;(COUNTIFS($C$2:$C$1000,C910,$H$2:$H$1000,"&gt;"&amp;H910)+1))</f>
        <v/>
      </c>
    </row>
    <row r="911" customFormat="false" ht="15" hidden="false" customHeight="false" outlineLevel="0" collapsed="false">
      <c r="A911" s="8" t="str">
        <f aca="false">IF(F911="","",COUNTIF($F$2:$F$1000,"&gt;"&amp;F911)+1)</f>
        <v/>
      </c>
      <c r="B911" s="9"/>
      <c r="C911" s="10"/>
      <c r="D911" s="11" t="str">
        <f aca="false">IF(C911="","",IFERROR(INDEX(Summary!$B$2:$B$14,MATCH(C911,Summary!$A$2:$A$14,0)),"?"))</f>
        <v/>
      </c>
      <c r="E911" s="11" t="str">
        <f aca="false">IF(C911="","",IFERROR(INDEX(Summary!$C$2:$C$14,MATCH(C911,Summary!$A$2:$A$14,0)),"?"))</f>
        <v/>
      </c>
      <c r="F911" s="12"/>
      <c r="H911" s="0" t="str">
        <f aca="false">IF(OR(B911="",F911=""),"",F911-ROW()/100000)</f>
        <v/>
      </c>
      <c r="I911" s="0" t="str">
        <f aca="false">IF(H911="","",C911&amp;"|"&amp;(COUNTIFS($C$2:$C$1000,C911,$H$2:$H$1000,"&gt;"&amp;H911)+1))</f>
        <v/>
      </c>
    </row>
    <row r="912" customFormat="false" ht="15" hidden="false" customHeight="false" outlineLevel="0" collapsed="false">
      <c r="A912" s="8" t="str">
        <f aca="false">IF(F912="","",COUNTIF($F$2:$F$1000,"&gt;"&amp;F912)+1)</f>
        <v/>
      </c>
      <c r="B912" s="9"/>
      <c r="C912" s="10"/>
      <c r="D912" s="11" t="str">
        <f aca="false">IF(C912="","",IFERROR(INDEX(Summary!$B$2:$B$14,MATCH(C912,Summary!$A$2:$A$14,0)),"?"))</f>
        <v/>
      </c>
      <c r="E912" s="11" t="str">
        <f aca="false">IF(C912="","",IFERROR(INDEX(Summary!$C$2:$C$14,MATCH(C912,Summary!$A$2:$A$14,0)),"?"))</f>
        <v/>
      </c>
      <c r="F912" s="12"/>
      <c r="H912" s="0" t="str">
        <f aca="false">IF(OR(B912="",F912=""),"",F912-ROW()/100000)</f>
        <v/>
      </c>
      <c r="I912" s="0" t="str">
        <f aca="false">IF(H912="","",C912&amp;"|"&amp;(COUNTIFS($C$2:$C$1000,C912,$H$2:$H$1000,"&gt;"&amp;H912)+1))</f>
        <v/>
      </c>
    </row>
    <row r="913" customFormat="false" ht="15" hidden="false" customHeight="false" outlineLevel="0" collapsed="false">
      <c r="A913" s="8" t="str">
        <f aca="false">IF(F913="","",COUNTIF($F$2:$F$1000,"&gt;"&amp;F913)+1)</f>
        <v/>
      </c>
      <c r="B913" s="9"/>
      <c r="C913" s="10"/>
      <c r="D913" s="11" t="str">
        <f aca="false">IF(C913="","",IFERROR(INDEX(Summary!$B$2:$B$14,MATCH(C913,Summary!$A$2:$A$14,0)),"?"))</f>
        <v/>
      </c>
      <c r="E913" s="11" t="str">
        <f aca="false">IF(C913="","",IFERROR(INDEX(Summary!$C$2:$C$14,MATCH(C913,Summary!$A$2:$A$14,0)),"?"))</f>
        <v/>
      </c>
      <c r="F913" s="12"/>
      <c r="H913" s="0" t="str">
        <f aca="false">IF(OR(B913="",F913=""),"",F913-ROW()/100000)</f>
        <v/>
      </c>
      <c r="I913" s="0" t="str">
        <f aca="false">IF(H913="","",C913&amp;"|"&amp;(COUNTIFS($C$2:$C$1000,C913,$H$2:$H$1000,"&gt;"&amp;H913)+1))</f>
        <v/>
      </c>
    </row>
    <row r="914" customFormat="false" ht="15" hidden="false" customHeight="false" outlineLevel="0" collapsed="false">
      <c r="A914" s="8" t="str">
        <f aca="false">IF(F914="","",COUNTIF($F$2:$F$1000,"&gt;"&amp;F914)+1)</f>
        <v/>
      </c>
      <c r="B914" s="9"/>
      <c r="C914" s="10"/>
      <c r="D914" s="11" t="str">
        <f aca="false">IF(C914="","",IFERROR(INDEX(Summary!$B$2:$B$14,MATCH(C914,Summary!$A$2:$A$14,0)),"?"))</f>
        <v/>
      </c>
      <c r="E914" s="11" t="str">
        <f aca="false">IF(C914="","",IFERROR(INDEX(Summary!$C$2:$C$14,MATCH(C914,Summary!$A$2:$A$14,0)),"?"))</f>
        <v/>
      </c>
      <c r="F914" s="12"/>
      <c r="H914" s="0" t="str">
        <f aca="false">IF(OR(B914="",F914=""),"",F914-ROW()/100000)</f>
        <v/>
      </c>
      <c r="I914" s="0" t="str">
        <f aca="false">IF(H914="","",C914&amp;"|"&amp;(COUNTIFS($C$2:$C$1000,C914,$H$2:$H$1000,"&gt;"&amp;H914)+1))</f>
        <v/>
      </c>
    </row>
    <row r="915" customFormat="false" ht="15" hidden="false" customHeight="false" outlineLevel="0" collapsed="false">
      <c r="A915" s="8" t="str">
        <f aca="false">IF(F915="","",COUNTIF($F$2:$F$1000,"&gt;"&amp;F915)+1)</f>
        <v/>
      </c>
      <c r="B915" s="9"/>
      <c r="C915" s="10"/>
      <c r="D915" s="11" t="str">
        <f aca="false">IF(C915="","",IFERROR(INDEX(Summary!$B$2:$B$14,MATCH(C915,Summary!$A$2:$A$14,0)),"?"))</f>
        <v/>
      </c>
      <c r="E915" s="11" t="str">
        <f aca="false">IF(C915="","",IFERROR(INDEX(Summary!$C$2:$C$14,MATCH(C915,Summary!$A$2:$A$14,0)),"?"))</f>
        <v/>
      </c>
      <c r="F915" s="12"/>
      <c r="H915" s="0" t="str">
        <f aca="false">IF(OR(B915="",F915=""),"",F915-ROW()/100000)</f>
        <v/>
      </c>
      <c r="I915" s="0" t="str">
        <f aca="false">IF(H915="","",C915&amp;"|"&amp;(COUNTIFS($C$2:$C$1000,C915,$H$2:$H$1000,"&gt;"&amp;H915)+1))</f>
        <v/>
      </c>
    </row>
    <row r="916" customFormat="false" ht="15" hidden="false" customHeight="false" outlineLevel="0" collapsed="false">
      <c r="A916" s="8" t="str">
        <f aca="false">IF(F916="","",COUNTIF($F$2:$F$1000,"&gt;"&amp;F916)+1)</f>
        <v/>
      </c>
      <c r="B916" s="9"/>
      <c r="C916" s="10"/>
      <c r="D916" s="11" t="str">
        <f aca="false">IF(C916="","",IFERROR(INDEX(Summary!$B$2:$B$14,MATCH(C916,Summary!$A$2:$A$14,0)),"?"))</f>
        <v/>
      </c>
      <c r="E916" s="11" t="str">
        <f aca="false">IF(C916="","",IFERROR(INDEX(Summary!$C$2:$C$14,MATCH(C916,Summary!$A$2:$A$14,0)),"?"))</f>
        <v/>
      </c>
      <c r="F916" s="12"/>
      <c r="H916" s="0" t="str">
        <f aca="false">IF(OR(B916="",F916=""),"",F916-ROW()/100000)</f>
        <v/>
      </c>
      <c r="I916" s="0" t="str">
        <f aca="false">IF(H916="","",C916&amp;"|"&amp;(COUNTIFS($C$2:$C$1000,C916,$H$2:$H$1000,"&gt;"&amp;H916)+1))</f>
        <v/>
      </c>
    </row>
    <row r="917" customFormat="false" ht="15" hidden="false" customHeight="false" outlineLevel="0" collapsed="false">
      <c r="A917" s="8" t="str">
        <f aca="false">IF(F917="","",COUNTIF($F$2:$F$1000,"&gt;"&amp;F917)+1)</f>
        <v/>
      </c>
      <c r="B917" s="9"/>
      <c r="C917" s="10"/>
      <c r="D917" s="11" t="str">
        <f aca="false">IF(C917="","",IFERROR(INDEX(Summary!$B$2:$B$14,MATCH(C917,Summary!$A$2:$A$14,0)),"?"))</f>
        <v/>
      </c>
      <c r="E917" s="11" t="str">
        <f aca="false">IF(C917="","",IFERROR(INDEX(Summary!$C$2:$C$14,MATCH(C917,Summary!$A$2:$A$14,0)),"?"))</f>
        <v/>
      </c>
      <c r="F917" s="12"/>
      <c r="H917" s="0" t="str">
        <f aca="false">IF(OR(B917="",F917=""),"",F917-ROW()/100000)</f>
        <v/>
      </c>
      <c r="I917" s="0" t="str">
        <f aca="false">IF(H917="","",C917&amp;"|"&amp;(COUNTIFS($C$2:$C$1000,C917,$H$2:$H$1000,"&gt;"&amp;H917)+1))</f>
        <v/>
      </c>
    </row>
    <row r="918" customFormat="false" ht="15" hidden="false" customHeight="false" outlineLevel="0" collapsed="false">
      <c r="A918" s="8" t="str">
        <f aca="false">IF(F918="","",COUNTIF($F$2:$F$1000,"&gt;"&amp;F918)+1)</f>
        <v/>
      </c>
      <c r="B918" s="9"/>
      <c r="C918" s="10"/>
      <c r="D918" s="11" t="str">
        <f aca="false">IF(C918="","",IFERROR(INDEX(Summary!$B$2:$B$14,MATCH(C918,Summary!$A$2:$A$14,0)),"?"))</f>
        <v/>
      </c>
      <c r="E918" s="11" t="str">
        <f aca="false">IF(C918="","",IFERROR(INDEX(Summary!$C$2:$C$14,MATCH(C918,Summary!$A$2:$A$14,0)),"?"))</f>
        <v/>
      </c>
      <c r="F918" s="12"/>
      <c r="H918" s="0" t="str">
        <f aca="false">IF(OR(B918="",F918=""),"",F918-ROW()/100000)</f>
        <v/>
      </c>
      <c r="I918" s="0" t="str">
        <f aca="false">IF(H918="","",C918&amp;"|"&amp;(COUNTIFS($C$2:$C$1000,C918,$H$2:$H$1000,"&gt;"&amp;H918)+1))</f>
        <v/>
      </c>
    </row>
    <row r="919" customFormat="false" ht="15" hidden="false" customHeight="false" outlineLevel="0" collapsed="false">
      <c r="A919" s="8" t="str">
        <f aca="false">IF(F919="","",COUNTIF($F$2:$F$1000,"&gt;"&amp;F919)+1)</f>
        <v/>
      </c>
      <c r="B919" s="9"/>
      <c r="C919" s="10"/>
      <c r="D919" s="11" t="str">
        <f aca="false">IF(C919="","",IFERROR(INDEX(Summary!$B$2:$B$14,MATCH(C919,Summary!$A$2:$A$14,0)),"?"))</f>
        <v/>
      </c>
      <c r="E919" s="11" t="str">
        <f aca="false">IF(C919="","",IFERROR(INDEX(Summary!$C$2:$C$14,MATCH(C919,Summary!$A$2:$A$14,0)),"?"))</f>
        <v/>
      </c>
      <c r="F919" s="12"/>
      <c r="H919" s="0" t="str">
        <f aca="false">IF(OR(B919="",F919=""),"",F919-ROW()/100000)</f>
        <v/>
      </c>
      <c r="I919" s="0" t="str">
        <f aca="false">IF(H919="","",C919&amp;"|"&amp;(COUNTIFS($C$2:$C$1000,C919,$H$2:$H$1000,"&gt;"&amp;H919)+1))</f>
        <v/>
      </c>
    </row>
    <row r="920" customFormat="false" ht="15" hidden="false" customHeight="false" outlineLevel="0" collapsed="false">
      <c r="A920" s="8" t="str">
        <f aca="false">IF(F920="","",COUNTIF($F$2:$F$1000,"&gt;"&amp;F920)+1)</f>
        <v/>
      </c>
      <c r="B920" s="9"/>
      <c r="C920" s="10"/>
      <c r="D920" s="11" t="str">
        <f aca="false">IF(C920="","",IFERROR(INDEX(Summary!$B$2:$B$14,MATCH(C920,Summary!$A$2:$A$14,0)),"?"))</f>
        <v/>
      </c>
      <c r="E920" s="11" t="str">
        <f aca="false">IF(C920="","",IFERROR(INDEX(Summary!$C$2:$C$14,MATCH(C920,Summary!$A$2:$A$14,0)),"?"))</f>
        <v/>
      </c>
      <c r="F920" s="12"/>
      <c r="H920" s="0" t="str">
        <f aca="false">IF(OR(B920="",F920=""),"",F920-ROW()/100000)</f>
        <v/>
      </c>
      <c r="I920" s="0" t="str">
        <f aca="false">IF(H920="","",C920&amp;"|"&amp;(COUNTIFS($C$2:$C$1000,C920,$H$2:$H$1000,"&gt;"&amp;H920)+1))</f>
        <v/>
      </c>
    </row>
    <row r="921" customFormat="false" ht="15" hidden="false" customHeight="false" outlineLevel="0" collapsed="false">
      <c r="A921" s="8" t="str">
        <f aca="false">IF(F921="","",COUNTIF($F$2:$F$1000,"&gt;"&amp;F921)+1)</f>
        <v/>
      </c>
      <c r="B921" s="9"/>
      <c r="C921" s="10"/>
      <c r="D921" s="11" t="str">
        <f aca="false">IF(C921="","",IFERROR(INDEX(Summary!$B$2:$B$14,MATCH(C921,Summary!$A$2:$A$14,0)),"?"))</f>
        <v/>
      </c>
      <c r="E921" s="11" t="str">
        <f aca="false">IF(C921="","",IFERROR(INDEX(Summary!$C$2:$C$14,MATCH(C921,Summary!$A$2:$A$14,0)),"?"))</f>
        <v/>
      </c>
      <c r="F921" s="12"/>
      <c r="H921" s="0" t="str">
        <f aca="false">IF(OR(B921="",F921=""),"",F921-ROW()/100000)</f>
        <v/>
      </c>
      <c r="I921" s="0" t="str">
        <f aca="false">IF(H921="","",C921&amp;"|"&amp;(COUNTIFS($C$2:$C$1000,C921,$H$2:$H$1000,"&gt;"&amp;H921)+1))</f>
        <v/>
      </c>
    </row>
    <row r="922" customFormat="false" ht="15" hidden="false" customHeight="false" outlineLevel="0" collapsed="false">
      <c r="A922" s="8" t="str">
        <f aca="false">IF(F922="","",COUNTIF($F$2:$F$1000,"&gt;"&amp;F922)+1)</f>
        <v/>
      </c>
      <c r="B922" s="9"/>
      <c r="C922" s="10"/>
      <c r="D922" s="11" t="str">
        <f aca="false">IF(C922="","",IFERROR(INDEX(Summary!$B$2:$B$14,MATCH(C922,Summary!$A$2:$A$14,0)),"?"))</f>
        <v/>
      </c>
      <c r="E922" s="11" t="str">
        <f aca="false">IF(C922="","",IFERROR(INDEX(Summary!$C$2:$C$14,MATCH(C922,Summary!$A$2:$A$14,0)),"?"))</f>
        <v/>
      </c>
      <c r="F922" s="12"/>
      <c r="H922" s="0" t="str">
        <f aca="false">IF(OR(B922="",F922=""),"",F922-ROW()/100000)</f>
        <v/>
      </c>
      <c r="I922" s="0" t="str">
        <f aca="false">IF(H922="","",C922&amp;"|"&amp;(COUNTIFS($C$2:$C$1000,C922,$H$2:$H$1000,"&gt;"&amp;H922)+1))</f>
        <v/>
      </c>
    </row>
    <row r="923" customFormat="false" ht="15" hidden="false" customHeight="false" outlineLevel="0" collapsed="false">
      <c r="A923" s="8" t="str">
        <f aca="false">IF(F923="","",COUNTIF($F$2:$F$1000,"&gt;"&amp;F923)+1)</f>
        <v/>
      </c>
      <c r="B923" s="9"/>
      <c r="C923" s="10"/>
      <c r="D923" s="11" t="str">
        <f aca="false">IF(C923="","",IFERROR(INDEX(Summary!$B$2:$B$14,MATCH(C923,Summary!$A$2:$A$14,0)),"?"))</f>
        <v/>
      </c>
      <c r="E923" s="11" t="str">
        <f aca="false">IF(C923="","",IFERROR(INDEX(Summary!$C$2:$C$14,MATCH(C923,Summary!$A$2:$A$14,0)),"?"))</f>
        <v/>
      </c>
      <c r="F923" s="12"/>
      <c r="H923" s="0" t="str">
        <f aca="false">IF(OR(B923="",F923=""),"",F923-ROW()/100000)</f>
        <v/>
      </c>
      <c r="I923" s="0" t="str">
        <f aca="false">IF(H923="","",C923&amp;"|"&amp;(COUNTIFS($C$2:$C$1000,C923,$H$2:$H$1000,"&gt;"&amp;H923)+1))</f>
        <v/>
      </c>
    </row>
    <row r="924" customFormat="false" ht="15" hidden="false" customHeight="false" outlineLevel="0" collapsed="false">
      <c r="A924" s="8" t="str">
        <f aca="false">IF(F924="","",COUNTIF($F$2:$F$1000,"&gt;"&amp;F924)+1)</f>
        <v/>
      </c>
      <c r="B924" s="9"/>
      <c r="C924" s="10"/>
      <c r="D924" s="11" t="str">
        <f aca="false">IF(C924="","",IFERROR(INDEX(Summary!$B$2:$B$14,MATCH(C924,Summary!$A$2:$A$14,0)),"?"))</f>
        <v/>
      </c>
      <c r="E924" s="11" t="str">
        <f aca="false">IF(C924="","",IFERROR(INDEX(Summary!$C$2:$C$14,MATCH(C924,Summary!$A$2:$A$14,0)),"?"))</f>
        <v/>
      </c>
      <c r="F924" s="12"/>
      <c r="H924" s="0" t="str">
        <f aca="false">IF(OR(B924="",F924=""),"",F924-ROW()/100000)</f>
        <v/>
      </c>
      <c r="I924" s="0" t="str">
        <f aca="false">IF(H924="","",C924&amp;"|"&amp;(COUNTIFS($C$2:$C$1000,C924,$H$2:$H$1000,"&gt;"&amp;H924)+1))</f>
        <v/>
      </c>
    </row>
    <row r="925" customFormat="false" ht="15" hidden="false" customHeight="false" outlineLevel="0" collapsed="false">
      <c r="A925" s="8" t="str">
        <f aca="false">IF(F925="","",COUNTIF($F$2:$F$1000,"&gt;"&amp;F925)+1)</f>
        <v/>
      </c>
      <c r="B925" s="9"/>
      <c r="C925" s="10"/>
      <c r="D925" s="11" t="str">
        <f aca="false">IF(C925="","",IFERROR(INDEX(Summary!$B$2:$B$14,MATCH(C925,Summary!$A$2:$A$14,0)),"?"))</f>
        <v/>
      </c>
      <c r="E925" s="11" t="str">
        <f aca="false">IF(C925="","",IFERROR(INDEX(Summary!$C$2:$C$14,MATCH(C925,Summary!$A$2:$A$14,0)),"?"))</f>
        <v/>
      </c>
      <c r="F925" s="12"/>
      <c r="H925" s="0" t="str">
        <f aca="false">IF(OR(B925="",F925=""),"",F925-ROW()/100000)</f>
        <v/>
      </c>
      <c r="I925" s="0" t="str">
        <f aca="false">IF(H925="","",C925&amp;"|"&amp;(COUNTIFS($C$2:$C$1000,C925,$H$2:$H$1000,"&gt;"&amp;H925)+1))</f>
        <v/>
      </c>
    </row>
    <row r="926" customFormat="false" ht="15" hidden="false" customHeight="false" outlineLevel="0" collapsed="false">
      <c r="A926" s="8" t="str">
        <f aca="false">IF(F926="","",COUNTIF($F$2:$F$1000,"&gt;"&amp;F926)+1)</f>
        <v/>
      </c>
      <c r="B926" s="9"/>
      <c r="C926" s="10"/>
      <c r="D926" s="11" t="str">
        <f aca="false">IF(C926="","",IFERROR(INDEX(Summary!$B$2:$B$14,MATCH(C926,Summary!$A$2:$A$14,0)),"?"))</f>
        <v/>
      </c>
      <c r="E926" s="11" t="str">
        <f aca="false">IF(C926="","",IFERROR(INDEX(Summary!$C$2:$C$14,MATCH(C926,Summary!$A$2:$A$14,0)),"?"))</f>
        <v/>
      </c>
      <c r="F926" s="12"/>
      <c r="H926" s="0" t="str">
        <f aca="false">IF(OR(B926="",F926=""),"",F926-ROW()/100000)</f>
        <v/>
      </c>
      <c r="I926" s="0" t="str">
        <f aca="false">IF(H926="","",C926&amp;"|"&amp;(COUNTIFS($C$2:$C$1000,C926,$H$2:$H$1000,"&gt;"&amp;H926)+1))</f>
        <v/>
      </c>
    </row>
    <row r="927" customFormat="false" ht="15" hidden="false" customHeight="false" outlineLevel="0" collapsed="false">
      <c r="A927" s="8" t="str">
        <f aca="false">IF(F927="","",COUNTIF($F$2:$F$1000,"&gt;"&amp;F927)+1)</f>
        <v/>
      </c>
      <c r="B927" s="9"/>
      <c r="C927" s="10"/>
      <c r="D927" s="11" t="str">
        <f aca="false">IF(C927="","",IFERROR(INDEX(Summary!$B$2:$B$14,MATCH(C927,Summary!$A$2:$A$14,0)),"?"))</f>
        <v/>
      </c>
      <c r="E927" s="11" t="str">
        <f aca="false">IF(C927="","",IFERROR(INDEX(Summary!$C$2:$C$14,MATCH(C927,Summary!$A$2:$A$14,0)),"?"))</f>
        <v/>
      </c>
      <c r="F927" s="12"/>
      <c r="H927" s="0" t="str">
        <f aca="false">IF(OR(B927="",F927=""),"",F927-ROW()/100000)</f>
        <v/>
      </c>
      <c r="I927" s="0" t="str">
        <f aca="false">IF(H927="","",C927&amp;"|"&amp;(COUNTIFS($C$2:$C$1000,C927,$H$2:$H$1000,"&gt;"&amp;H927)+1))</f>
        <v/>
      </c>
    </row>
    <row r="928" customFormat="false" ht="15" hidden="false" customHeight="false" outlineLevel="0" collapsed="false">
      <c r="A928" s="8" t="str">
        <f aca="false">IF(F928="","",COUNTIF($F$2:$F$1000,"&gt;"&amp;F928)+1)</f>
        <v/>
      </c>
      <c r="B928" s="9"/>
      <c r="C928" s="10"/>
      <c r="D928" s="11" t="str">
        <f aca="false">IF(C928="","",IFERROR(INDEX(Summary!$B$2:$B$14,MATCH(C928,Summary!$A$2:$A$14,0)),"?"))</f>
        <v/>
      </c>
      <c r="E928" s="11" t="str">
        <f aca="false">IF(C928="","",IFERROR(INDEX(Summary!$C$2:$C$14,MATCH(C928,Summary!$A$2:$A$14,0)),"?"))</f>
        <v/>
      </c>
      <c r="F928" s="12"/>
      <c r="H928" s="0" t="str">
        <f aca="false">IF(OR(B928="",F928=""),"",F928-ROW()/100000)</f>
        <v/>
      </c>
      <c r="I928" s="0" t="str">
        <f aca="false">IF(H928="","",C928&amp;"|"&amp;(COUNTIFS($C$2:$C$1000,C928,$H$2:$H$1000,"&gt;"&amp;H928)+1))</f>
        <v/>
      </c>
    </row>
    <row r="929" customFormat="false" ht="15" hidden="false" customHeight="false" outlineLevel="0" collapsed="false">
      <c r="A929" s="8" t="str">
        <f aca="false">IF(F929="","",COUNTIF($F$2:$F$1000,"&gt;"&amp;F929)+1)</f>
        <v/>
      </c>
      <c r="B929" s="9"/>
      <c r="C929" s="10"/>
      <c r="D929" s="11" t="str">
        <f aca="false">IF(C929="","",IFERROR(INDEX(Summary!$B$2:$B$14,MATCH(C929,Summary!$A$2:$A$14,0)),"?"))</f>
        <v/>
      </c>
      <c r="E929" s="11" t="str">
        <f aca="false">IF(C929="","",IFERROR(INDEX(Summary!$C$2:$C$14,MATCH(C929,Summary!$A$2:$A$14,0)),"?"))</f>
        <v/>
      </c>
      <c r="F929" s="12"/>
      <c r="H929" s="0" t="str">
        <f aca="false">IF(OR(B929="",F929=""),"",F929-ROW()/100000)</f>
        <v/>
      </c>
      <c r="I929" s="0" t="str">
        <f aca="false">IF(H929="","",C929&amp;"|"&amp;(COUNTIFS($C$2:$C$1000,C929,$H$2:$H$1000,"&gt;"&amp;H929)+1))</f>
        <v/>
      </c>
    </row>
    <row r="930" customFormat="false" ht="15" hidden="false" customHeight="false" outlineLevel="0" collapsed="false">
      <c r="A930" s="8" t="str">
        <f aca="false">IF(F930="","",COUNTIF($F$2:$F$1000,"&gt;"&amp;F930)+1)</f>
        <v/>
      </c>
      <c r="B930" s="9"/>
      <c r="C930" s="10"/>
      <c r="D930" s="11" t="str">
        <f aca="false">IF(C930="","",IFERROR(INDEX(Summary!$B$2:$B$14,MATCH(C930,Summary!$A$2:$A$14,0)),"?"))</f>
        <v/>
      </c>
      <c r="E930" s="11" t="str">
        <f aca="false">IF(C930="","",IFERROR(INDEX(Summary!$C$2:$C$14,MATCH(C930,Summary!$A$2:$A$14,0)),"?"))</f>
        <v/>
      </c>
      <c r="F930" s="12"/>
      <c r="H930" s="0" t="str">
        <f aca="false">IF(OR(B930="",F930=""),"",F930-ROW()/100000)</f>
        <v/>
      </c>
      <c r="I930" s="0" t="str">
        <f aca="false">IF(H930="","",C930&amp;"|"&amp;(COUNTIFS($C$2:$C$1000,C930,$H$2:$H$1000,"&gt;"&amp;H930)+1))</f>
        <v/>
      </c>
    </row>
    <row r="931" customFormat="false" ht="15" hidden="false" customHeight="false" outlineLevel="0" collapsed="false">
      <c r="A931" s="8" t="str">
        <f aca="false">IF(F931="","",COUNTIF($F$2:$F$1000,"&gt;"&amp;F931)+1)</f>
        <v/>
      </c>
      <c r="B931" s="9"/>
      <c r="C931" s="10"/>
      <c r="D931" s="11" t="str">
        <f aca="false">IF(C931="","",IFERROR(INDEX(Summary!$B$2:$B$14,MATCH(C931,Summary!$A$2:$A$14,0)),"?"))</f>
        <v/>
      </c>
      <c r="E931" s="11" t="str">
        <f aca="false">IF(C931="","",IFERROR(INDEX(Summary!$C$2:$C$14,MATCH(C931,Summary!$A$2:$A$14,0)),"?"))</f>
        <v/>
      </c>
      <c r="F931" s="12"/>
      <c r="H931" s="0" t="str">
        <f aca="false">IF(OR(B931="",F931=""),"",F931-ROW()/100000)</f>
        <v/>
      </c>
      <c r="I931" s="0" t="str">
        <f aca="false">IF(H931="","",C931&amp;"|"&amp;(COUNTIFS($C$2:$C$1000,C931,$H$2:$H$1000,"&gt;"&amp;H931)+1))</f>
        <v/>
      </c>
    </row>
    <row r="932" customFormat="false" ht="15" hidden="false" customHeight="false" outlineLevel="0" collapsed="false">
      <c r="A932" s="8" t="str">
        <f aca="false">IF(F932="","",COUNTIF($F$2:$F$1000,"&gt;"&amp;F932)+1)</f>
        <v/>
      </c>
      <c r="B932" s="9"/>
      <c r="C932" s="10"/>
      <c r="D932" s="11" t="str">
        <f aca="false">IF(C932="","",IFERROR(INDEX(Summary!$B$2:$B$14,MATCH(C932,Summary!$A$2:$A$14,0)),"?"))</f>
        <v/>
      </c>
      <c r="E932" s="11" t="str">
        <f aca="false">IF(C932="","",IFERROR(INDEX(Summary!$C$2:$C$14,MATCH(C932,Summary!$A$2:$A$14,0)),"?"))</f>
        <v/>
      </c>
      <c r="F932" s="12"/>
      <c r="H932" s="0" t="str">
        <f aca="false">IF(OR(B932="",F932=""),"",F932-ROW()/100000)</f>
        <v/>
      </c>
      <c r="I932" s="0" t="str">
        <f aca="false">IF(H932="","",C932&amp;"|"&amp;(COUNTIFS($C$2:$C$1000,C932,$H$2:$H$1000,"&gt;"&amp;H932)+1))</f>
        <v/>
      </c>
    </row>
    <row r="933" customFormat="false" ht="15" hidden="false" customHeight="false" outlineLevel="0" collapsed="false">
      <c r="A933" s="8" t="str">
        <f aca="false">IF(F933="","",COUNTIF($F$2:$F$1000,"&gt;"&amp;F933)+1)</f>
        <v/>
      </c>
      <c r="B933" s="9"/>
      <c r="C933" s="10"/>
      <c r="D933" s="11" t="str">
        <f aca="false">IF(C933="","",IFERROR(INDEX(Summary!$B$2:$B$14,MATCH(C933,Summary!$A$2:$A$14,0)),"?"))</f>
        <v/>
      </c>
      <c r="E933" s="11" t="str">
        <f aca="false">IF(C933="","",IFERROR(INDEX(Summary!$C$2:$C$14,MATCH(C933,Summary!$A$2:$A$14,0)),"?"))</f>
        <v/>
      </c>
      <c r="F933" s="12"/>
      <c r="H933" s="0" t="str">
        <f aca="false">IF(OR(B933="",F933=""),"",F933-ROW()/100000)</f>
        <v/>
      </c>
      <c r="I933" s="0" t="str">
        <f aca="false">IF(H933="","",C933&amp;"|"&amp;(COUNTIFS($C$2:$C$1000,C933,$H$2:$H$1000,"&gt;"&amp;H933)+1))</f>
        <v/>
      </c>
    </row>
    <row r="934" customFormat="false" ht="15" hidden="false" customHeight="false" outlineLevel="0" collapsed="false">
      <c r="A934" s="8" t="str">
        <f aca="false">IF(F934="","",COUNTIF($F$2:$F$1000,"&gt;"&amp;F934)+1)</f>
        <v/>
      </c>
      <c r="B934" s="9"/>
      <c r="C934" s="10"/>
      <c r="D934" s="11" t="str">
        <f aca="false">IF(C934="","",IFERROR(INDEX(Summary!$B$2:$B$14,MATCH(C934,Summary!$A$2:$A$14,0)),"?"))</f>
        <v/>
      </c>
      <c r="E934" s="11" t="str">
        <f aca="false">IF(C934="","",IFERROR(INDEX(Summary!$C$2:$C$14,MATCH(C934,Summary!$A$2:$A$14,0)),"?"))</f>
        <v/>
      </c>
      <c r="F934" s="12"/>
      <c r="H934" s="0" t="str">
        <f aca="false">IF(OR(B934="",F934=""),"",F934-ROW()/100000)</f>
        <v/>
      </c>
      <c r="I934" s="0" t="str">
        <f aca="false">IF(H934="","",C934&amp;"|"&amp;(COUNTIFS($C$2:$C$1000,C934,$H$2:$H$1000,"&gt;"&amp;H934)+1))</f>
        <v/>
      </c>
    </row>
    <row r="935" customFormat="false" ht="15" hidden="false" customHeight="false" outlineLevel="0" collapsed="false">
      <c r="A935" s="8" t="str">
        <f aca="false">IF(F935="","",COUNTIF($F$2:$F$1000,"&gt;"&amp;F935)+1)</f>
        <v/>
      </c>
      <c r="B935" s="9"/>
      <c r="C935" s="10"/>
      <c r="D935" s="11" t="str">
        <f aca="false">IF(C935="","",IFERROR(INDEX(Summary!$B$2:$B$14,MATCH(C935,Summary!$A$2:$A$14,0)),"?"))</f>
        <v/>
      </c>
      <c r="E935" s="11" t="str">
        <f aca="false">IF(C935="","",IFERROR(INDEX(Summary!$C$2:$C$14,MATCH(C935,Summary!$A$2:$A$14,0)),"?"))</f>
        <v/>
      </c>
      <c r="F935" s="12"/>
      <c r="H935" s="0" t="str">
        <f aca="false">IF(OR(B935="",F935=""),"",F935-ROW()/100000)</f>
        <v/>
      </c>
      <c r="I935" s="0" t="str">
        <f aca="false">IF(H935="","",C935&amp;"|"&amp;(COUNTIFS($C$2:$C$1000,C935,$H$2:$H$1000,"&gt;"&amp;H935)+1))</f>
        <v/>
      </c>
    </row>
    <row r="936" customFormat="false" ht="15" hidden="false" customHeight="false" outlineLevel="0" collapsed="false">
      <c r="A936" s="8" t="str">
        <f aca="false">IF(F936="","",COUNTIF($F$2:$F$1000,"&gt;"&amp;F936)+1)</f>
        <v/>
      </c>
      <c r="B936" s="9"/>
      <c r="C936" s="10"/>
      <c r="D936" s="11" t="str">
        <f aca="false">IF(C936="","",IFERROR(INDEX(Summary!$B$2:$B$14,MATCH(C936,Summary!$A$2:$A$14,0)),"?"))</f>
        <v/>
      </c>
      <c r="E936" s="11" t="str">
        <f aca="false">IF(C936="","",IFERROR(INDEX(Summary!$C$2:$C$14,MATCH(C936,Summary!$A$2:$A$14,0)),"?"))</f>
        <v/>
      </c>
      <c r="F936" s="12"/>
      <c r="H936" s="0" t="str">
        <f aca="false">IF(OR(B936="",F936=""),"",F936-ROW()/100000)</f>
        <v/>
      </c>
      <c r="I936" s="0" t="str">
        <f aca="false">IF(H936="","",C936&amp;"|"&amp;(COUNTIFS($C$2:$C$1000,C936,$H$2:$H$1000,"&gt;"&amp;H936)+1))</f>
        <v/>
      </c>
    </row>
    <row r="937" customFormat="false" ht="15" hidden="false" customHeight="false" outlineLevel="0" collapsed="false">
      <c r="A937" s="8" t="str">
        <f aca="false">IF(F937="","",COUNTIF($F$2:$F$1000,"&gt;"&amp;F937)+1)</f>
        <v/>
      </c>
      <c r="B937" s="9"/>
      <c r="C937" s="10"/>
      <c r="D937" s="11" t="str">
        <f aca="false">IF(C937="","",IFERROR(INDEX(Summary!$B$2:$B$14,MATCH(C937,Summary!$A$2:$A$14,0)),"?"))</f>
        <v/>
      </c>
      <c r="E937" s="11" t="str">
        <f aca="false">IF(C937="","",IFERROR(INDEX(Summary!$C$2:$C$14,MATCH(C937,Summary!$A$2:$A$14,0)),"?"))</f>
        <v/>
      </c>
      <c r="F937" s="12"/>
      <c r="H937" s="0" t="str">
        <f aca="false">IF(OR(B937="",F937=""),"",F937-ROW()/100000)</f>
        <v/>
      </c>
      <c r="I937" s="0" t="str">
        <f aca="false">IF(H937="","",C937&amp;"|"&amp;(COUNTIFS($C$2:$C$1000,C937,$H$2:$H$1000,"&gt;"&amp;H937)+1))</f>
        <v/>
      </c>
    </row>
    <row r="938" customFormat="false" ht="15" hidden="false" customHeight="false" outlineLevel="0" collapsed="false">
      <c r="A938" s="8" t="str">
        <f aca="false">IF(F938="","",COUNTIF($F$2:$F$1000,"&gt;"&amp;F938)+1)</f>
        <v/>
      </c>
      <c r="B938" s="9"/>
      <c r="C938" s="10"/>
      <c r="D938" s="11" t="str">
        <f aca="false">IF(C938="","",IFERROR(INDEX(Summary!$B$2:$B$14,MATCH(C938,Summary!$A$2:$A$14,0)),"?"))</f>
        <v/>
      </c>
      <c r="E938" s="11" t="str">
        <f aca="false">IF(C938="","",IFERROR(INDEX(Summary!$C$2:$C$14,MATCH(C938,Summary!$A$2:$A$14,0)),"?"))</f>
        <v/>
      </c>
      <c r="F938" s="12"/>
      <c r="H938" s="0" t="str">
        <f aca="false">IF(OR(B938="",F938=""),"",F938-ROW()/100000)</f>
        <v/>
      </c>
      <c r="I938" s="0" t="str">
        <f aca="false">IF(H938="","",C938&amp;"|"&amp;(COUNTIFS($C$2:$C$1000,C938,$H$2:$H$1000,"&gt;"&amp;H938)+1))</f>
        <v/>
      </c>
    </row>
    <row r="939" customFormat="false" ht="15" hidden="false" customHeight="false" outlineLevel="0" collapsed="false">
      <c r="A939" s="8" t="str">
        <f aca="false">IF(F939="","",COUNTIF($F$2:$F$1000,"&gt;"&amp;F939)+1)</f>
        <v/>
      </c>
      <c r="B939" s="9"/>
      <c r="C939" s="10"/>
      <c r="D939" s="11" t="str">
        <f aca="false">IF(C939="","",IFERROR(INDEX(Summary!$B$2:$B$14,MATCH(C939,Summary!$A$2:$A$14,0)),"?"))</f>
        <v/>
      </c>
      <c r="E939" s="11" t="str">
        <f aca="false">IF(C939="","",IFERROR(INDEX(Summary!$C$2:$C$14,MATCH(C939,Summary!$A$2:$A$14,0)),"?"))</f>
        <v/>
      </c>
      <c r="F939" s="12"/>
      <c r="H939" s="0" t="str">
        <f aca="false">IF(OR(B939="",F939=""),"",F939-ROW()/100000)</f>
        <v/>
      </c>
      <c r="I939" s="0" t="str">
        <f aca="false">IF(H939="","",C939&amp;"|"&amp;(COUNTIFS($C$2:$C$1000,C939,$H$2:$H$1000,"&gt;"&amp;H939)+1))</f>
        <v/>
      </c>
    </row>
    <row r="940" customFormat="false" ht="15" hidden="false" customHeight="false" outlineLevel="0" collapsed="false">
      <c r="A940" s="8" t="str">
        <f aca="false">IF(F940="","",COUNTIF($F$2:$F$1000,"&gt;"&amp;F940)+1)</f>
        <v/>
      </c>
      <c r="B940" s="9"/>
      <c r="C940" s="10"/>
      <c r="D940" s="11" t="str">
        <f aca="false">IF(C940="","",IFERROR(INDEX(Summary!$B$2:$B$14,MATCH(C940,Summary!$A$2:$A$14,0)),"?"))</f>
        <v/>
      </c>
      <c r="E940" s="11" t="str">
        <f aca="false">IF(C940="","",IFERROR(INDEX(Summary!$C$2:$C$14,MATCH(C940,Summary!$A$2:$A$14,0)),"?"))</f>
        <v/>
      </c>
      <c r="F940" s="12"/>
      <c r="H940" s="0" t="str">
        <f aca="false">IF(OR(B940="",F940=""),"",F940-ROW()/100000)</f>
        <v/>
      </c>
      <c r="I940" s="0" t="str">
        <f aca="false">IF(H940="","",C940&amp;"|"&amp;(COUNTIFS($C$2:$C$1000,C940,$H$2:$H$1000,"&gt;"&amp;H940)+1))</f>
        <v/>
      </c>
    </row>
    <row r="941" customFormat="false" ht="15" hidden="false" customHeight="false" outlineLevel="0" collapsed="false">
      <c r="A941" s="8" t="str">
        <f aca="false">IF(F941="","",COUNTIF($F$2:$F$1000,"&gt;"&amp;F941)+1)</f>
        <v/>
      </c>
      <c r="B941" s="9"/>
      <c r="C941" s="10"/>
      <c r="D941" s="11" t="str">
        <f aca="false">IF(C941="","",IFERROR(INDEX(Summary!$B$2:$B$14,MATCH(C941,Summary!$A$2:$A$14,0)),"?"))</f>
        <v/>
      </c>
      <c r="E941" s="11" t="str">
        <f aca="false">IF(C941="","",IFERROR(INDEX(Summary!$C$2:$C$14,MATCH(C941,Summary!$A$2:$A$14,0)),"?"))</f>
        <v/>
      </c>
      <c r="F941" s="12"/>
      <c r="H941" s="0" t="str">
        <f aca="false">IF(OR(B941="",F941=""),"",F941-ROW()/100000)</f>
        <v/>
      </c>
      <c r="I941" s="0" t="str">
        <f aca="false">IF(H941="","",C941&amp;"|"&amp;(COUNTIFS($C$2:$C$1000,C941,$H$2:$H$1000,"&gt;"&amp;H941)+1))</f>
        <v/>
      </c>
    </row>
    <row r="942" customFormat="false" ht="15" hidden="false" customHeight="false" outlineLevel="0" collapsed="false">
      <c r="A942" s="8" t="str">
        <f aca="false">IF(F942="","",COUNTIF($F$2:$F$1000,"&gt;"&amp;F942)+1)</f>
        <v/>
      </c>
      <c r="B942" s="9"/>
      <c r="C942" s="10"/>
      <c r="D942" s="11" t="str">
        <f aca="false">IF(C942="","",IFERROR(INDEX(Summary!$B$2:$B$14,MATCH(C942,Summary!$A$2:$A$14,0)),"?"))</f>
        <v/>
      </c>
      <c r="E942" s="11" t="str">
        <f aca="false">IF(C942="","",IFERROR(INDEX(Summary!$C$2:$C$14,MATCH(C942,Summary!$A$2:$A$14,0)),"?"))</f>
        <v/>
      </c>
      <c r="F942" s="12"/>
      <c r="H942" s="0" t="str">
        <f aca="false">IF(OR(B942="",F942=""),"",F942-ROW()/100000)</f>
        <v/>
      </c>
      <c r="I942" s="0" t="str">
        <f aca="false">IF(H942="","",C942&amp;"|"&amp;(COUNTIFS($C$2:$C$1000,C942,$H$2:$H$1000,"&gt;"&amp;H942)+1))</f>
        <v/>
      </c>
    </row>
    <row r="943" customFormat="false" ht="15" hidden="false" customHeight="false" outlineLevel="0" collapsed="false">
      <c r="A943" s="8" t="str">
        <f aca="false">IF(F943="","",COUNTIF($F$2:$F$1000,"&gt;"&amp;F943)+1)</f>
        <v/>
      </c>
      <c r="B943" s="9"/>
      <c r="C943" s="10"/>
      <c r="D943" s="11" t="str">
        <f aca="false">IF(C943="","",IFERROR(INDEX(Summary!$B$2:$B$14,MATCH(C943,Summary!$A$2:$A$14,0)),"?"))</f>
        <v/>
      </c>
      <c r="E943" s="11" t="str">
        <f aca="false">IF(C943="","",IFERROR(INDEX(Summary!$C$2:$C$14,MATCH(C943,Summary!$A$2:$A$14,0)),"?"))</f>
        <v/>
      </c>
      <c r="F943" s="12"/>
      <c r="H943" s="0" t="str">
        <f aca="false">IF(OR(B943="",F943=""),"",F943-ROW()/100000)</f>
        <v/>
      </c>
      <c r="I943" s="0" t="str">
        <f aca="false">IF(H943="","",C943&amp;"|"&amp;(COUNTIFS($C$2:$C$1000,C943,$H$2:$H$1000,"&gt;"&amp;H943)+1))</f>
        <v/>
      </c>
    </row>
    <row r="944" customFormat="false" ht="15" hidden="false" customHeight="false" outlineLevel="0" collapsed="false">
      <c r="A944" s="8" t="str">
        <f aca="false">IF(F944="","",COUNTIF($F$2:$F$1000,"&gt;"&amp;F944)+1)</f>
        <v/>
      </c>
      <c r="B944" s="9"/>
      <c r="C944" s="10"/>
      <c r="D944" s="11" t="str">
        <f aca="false">IF(C944="","",IFERROR(INDEX(Summary!$B$2:$B$14,MATCH(C944,Summary!$A$2:$A$14,0)),"?"))</f>
        <v/>
      </c>
      <c r="E944" s="11" t="str">
        <f aca="false">IF(C944="","",IFERROR(INDEX(Summary!$C$2:$C$14,MATCH(C944,Summary!$A$2:$A$14,0)),"?"))</f>
        <v/>
      </c>
      <c r="F944" s="12"/>
      <c r="H944" s="0" t="str">
        <f aca="false">IF(OR(B944="",F944=""),"",F944-ROW()/100000)</f>
        <v/>
      </c>
      <c r="I944" s="0" t="str">
        <f aca="false">IF(H944="","",C944&amp;"|"&amp;(COUNTIFS($C$2:$C$1000,C944,$H$2:$H$1000,"&gt;"&amp;H944)+1))</f>
        <v/>
      </c>
    </row>
    <row r="945" customFormat="false" ht="15" hidden="false" customHeight="false" outlineLevel="0" collapsed="false">
      <c r="A945" s="8" t="str">
        <f aca="false">IF(F945="","",COUNTIF($F$2:$F$1000,"&gt;"&amp;F945)+1)</f>
        <v/>
      </c>
      <c r="B945" s="9"/>
      <c r="C945" s="10"/>
      <c r="D945" s="11" t="str">
        <f aca="false">IF(C945="","",IFERROR(INDEX(Summary!$B$2:$B$14,MATCH(C945,Summary!$A$2:$A$14,0)),"?"))</f>
        <v/>
      </c>
      <c r="E945" s="11" t="str">
        <f aca="false">IF(C945="","",IFERROR(INDEX(Summary!$C$2:$C$14,MATCH(C945,Summary!$A$2:$A$14,0)),"?"))</f>
        <v/>
      </c>
      <c r="F945" s="12"/>
      <c r="H945" s="0" t="str">
        <f aca="false">IF(OR(B945="",F945=""),"",F945-ROW()/100000)</f>
        <v/>
      </c>
      <c r="I945" s="0" t="str">
        <f aca="false">IF(H945="","",C945&amp;"|"&amp;(COUNTIFS($C$2:$C$1000,C945,$H$2:$H$1000,"&gt;"&amp;H945)+1))</f>
        <v/>
      </c>
    </row>
    <row r="946" customFormat="false" ht="15" hidden="false" customHeight="false" outlineLevel="0" collapsed="false">
      <c r="A946" s="8" t="str">
        <f aca="false">IF(F946="","",COUNTIF($F$2:$F$1000,"&gt;"&amp;F946)+1)</f>
        <v/>
      </c>
      <c r="B946" s="9"/>
      <c r="C946" s="10"/>
      <c r="D946" s="11" t="str">
        <f aca="false">IF(C946="","",IFERROR(INDEX(Summary!$B$2:$B$14,MATCH(C946,Summary!$A$2:$A$14,0)),"?"))</f>
        <v/>
      </c>
      <c r="E946" s="11" t="str">
        <f aca="false">IF(C946="","",IFERROR(INDEX(Summary!$C$2:$C$14,MATCH(C946,Summary!$A$2:$A$14,0)),"?"))</f>
        <v/>
      </c>
      <c r="F946" s="12"/>
      <c r="H946" s="0" t="str">
        <f aca="false">IF(OR(B946="",F946=""),"",F946-ROW()/100000)</f>
        <v/>
      </c>
      <c r="I946" s="0" t="str">
        <f aca="false">IF(H946="","",C946&amp;"|"&amp;(COUNTIFS($C$2:$C$1000,C946,$H$2:$H$1000,"&gt;"&amp;H946)+1))</f>
        <v/>
      </c>
    </row>
    <row r="947" customFormat="false" ht="15" hidden="false" customHeight="false" outlineLevel="0" collapsed="false">
      <c r="A947" s="8" t="str">
        <f aca="false">IF(F947="","",COUNTIF($F$2:$F$1000,"&gt;"&amp;F947)+1)</f>
        <v/>
      </c>
      <c r="B947" s="9"/>
      <c r="C947" s="10"/>
      <c r="D947" s="11" t="str">
        <f aca="false">IF(C947="","",IFERROR(INDEX(Summary!$B$2:$B$14,MATCH(C947,Summary!$A$2:$A$14,0)),"?"))</f>
        <v/>
      </c>
      <c r="E947" s="11" t="str">
        <f aca="false">IF(C947="","",IFERROR(INDEX(Summary!$C$2:$C$14,MATCH(C947,Summary!$A$2:$A$14,0)),"?"))</f>
        <v/>
      </c>
      <c r="F947" s="12"/>
      <c r="H947" s="0" t="str">
        <f aca="false">IF(OR(B947="",F947=""),"",F947-ROW()/100000)</f>
        <v/>
      </c>
      <c r="I947" s="0" t="str">
        <f aca="false">IF(H947="","",C947&amp;"|"&amp;(COUNTIFS($C$2:$C$1000,C947,$H$2:$H$1000,"&gt;"&amp;H947)+1))</f>
        <v/>
      </c>
    </row>
    <row r="948" customFormat="false" ht="15" hidden="false" customHeight="false" outlineLevel="0" collapsed="false">
      <c r="A948" s="8" t="str">
        <f aca="false">IF(F948="","",COUNTIF($F$2:$F$1000,"&gt;"&amp;F948)+1)</f>
        <v/>
      </c>
      <c r="B948" s="9"/>
      <c r="C948" s="10"/>
      <c r="D948" s="11" t="str">
        <f aca="false">IF(C948="","",IFERROR(INDEX(Summary!$B$2:$B$14,MATCH(C948,Summary!$A$2:$A$14,0)),"?"))</f>
        <v/>
      </c>
      <c r="E948" s="11" t="str">
        <f aca="false">IF(C948="","",IFERROR(INDEX(Summary!$C$2:$C$14,MATCH(C948,Summary!$A$2:$A$14,0)),"?"))</f>
        <v/>
      </c>
      <c r="F948" s="12"/>
      <c r="H948" s="0" t="str">
        <f aca="false">IF(OR(B948="",F948=""),"",F948-ROW()/100000)</f>
        <v/>
      </c>
      <c r="I948" s="0" t="str">
        <f aca="false">IF(H948="","",C948&amp;"|"&amp;(COUNTIFS($C$2:$C$1000,C948,$H$2:$H$1000,"&gt;"&amp;H948)+1))</f>
        <v/>
      </c>
    </row>
    <row r="949" customFormat="false" ht="15" hidden="false" customHeight="false" outlineLevel="0" collapsed="false">
      <c r="A949" s="8" t="str">
        <f aca="false">IF(F949="","",COUNTIF($F$2:$F$1000,"&gt;"&amp;F949)+1)</f>
        <v/>
      </c>
      <c r="B949" s="9"/>
      <c r="C949" s="10"/>
      <c r="D949" s="11" t="str">
        <f aca="false">IF(C949="","",IFERROR(INDEX(Summary!$B$2:$B$14,MATCH(C949,Summary!$A$2:$A$14,0)),"?"))</f>
        <v/>
      </c>
      <c r="E949" s="11" t="str">
        <f aca="false">IF(C949="","",IFERROR(INDEX(Summary!$C$2:$C$14,MATCH(C949,Summary!$A$2:$A$14,0)),"?"))</f>
        <v/>
      </c>
      <c r="F949" s="12"/>
      <c r="H949" s="0" t="str">
        <f aca="false">IF(OR(B949="",F949=""),"",F949-ROW()/100000)</f>
        <v/>
      </c>
      <c r="I949" s="0" t="str">
        <f aca="false">IF(H949="","",C949&amp;"|"&amp;(COUNTIFS($C$2:$C$1000,C949,$H$2:$H$1000,"&gt;"&amp;H949)+1))</f>
        <v/>
      </c>
    </row>
    <row r="950" customFormat="false" ht="15" hidden="false" customHeight="false" outlineLevel="0" collapsed="false">
      <c r="A950" s="8" t="str">
        <f aca="false">IF(F950="","",COUNTIF($F$2:$F$1000,"&gt;"&amp;F950)+1)</f>
        <v/>
      </c>
      <c r="B950" s="9"/>
      <c r="C950" s="10"/>
      <c r="D950" s="11" t="str">
        <f aca="false">IF(C950="","",IFERROR(INDEX(Summary!$B$2:$B$14,MATCH(C950,Summary!$A$2:$A$14,0)),"?"))</f>
        <v/>
      </c>
      <c r="E950" s="11" t="str">
        <f aca="false">IF(C950="","",IFERROR(INDEX(Summary!$C$2:$C$14,MATCH(C950,Summary!$A$2:$A$14,0)),"?"))</f>
        <v/>
      </c>
      <c r="F950" s="12"/>
      <c r="H950" s="0" t="str">
        <f aca="false">IF(OR(B950="",F950=""),"",F950-ROW()/100000)</f>
        <v/>
      </c>
      <c r="I950" s="0" t="str">
        <f aca="false">IF(H950="","",C950&amp;"|"&amp;(COUNTIFS($C$2:$C$1000,C950,$H$2:$H$1000,"&gt;"&amp;H950)+1))</f>
        <v/>
      </c>
    </row>
    <row r="951" customFormat="false" ht="15" hidden="false" customHeight="false" outlineLevel="0" collapsed="false">
      <c r="A951" s="8" t="str">
        <f aca="false">IF(F951="","",COUNTIF($F$2:$F$1000,"&gt;"&amp;F951)+1)</f>
        <v/>
      </c>
      <c r="B951" s="9"/>
      <c r="C951" s="10"/>
      <c r="D951" s="11" t="str">
        <f aca="false">IF(C951="","",IFERROR(INDEX(Summary!$B$2:$B$14,MATCH(C951,Summary!$A$2:$A$14,0)),"?"))</f>
        <v/>
      </c>
      <c r="E951" s="11" t="str">
        <f aca="false">IF(C951="","",IFERROR(INDEX(Summary!$C$2:$C$14,MATCH(C951,Summary!$A$2:$A$14,0)),"?"))</f>
        <v/>
      </c>
      <c r="F951" s="12"/>
      <c r="H951" s="0" t="str">
        <f aca="false">IF(OR(B951="",F951=""),"",F951-ROW()/100000)</f>
        <v/>
      </c>
      <c r="I951" s="0" t="str">
        <f aca="false">IF(H951="","",C951&amp;"|"&amp;(COUNTIFS($C$2:$C$1000,C951,$H$2:$H$1000,"&gt;"&amp;H951)+1))</f>
        <v/>
      </c>
    </row>
    <row r="952" customFormat="false" ht="15" hidden="false" customHeight="false" outlineLevel="0" collapsed="false">
      <c r="A952" s="8" t="str">
        <f aca="false">IF(F952="","",COUNTIF($F$2:$F$1000,"&gt;"&amp;F952)+1)</f>
        <v/>
      </c>
      <c r="B952" s="9"/>
      <c r="C952" s="10"/>
      <c r="D952" s="11" t="str">
        <f aca="false">IF(C952="","",IFERROR(INDEX(Summary!$B$2:$B$14,MATCH(C952,Summary!$A$2:$A$14,0)),"?"))</f>
        <v/>
      </c>
      <c r="E952" s="11" t="str">
        <f aca="false">IF(C952="","",IFERROR(INDEX(Summary!$C$2:$C$14,MATCH(C952,Summary!$A$2:$A$14,0)),"?"))</f>
        <v/>
      </c>
      <c r="F952" s="12"/>
      <c r="H952" s="0" t="str">
        <f aca="false">IF(OR(B952="",F952=""),"",F952-ROW()/100000)</f>
        <v/>
      </c>
      <c r="I952" s="0" t="str">
        <f aca="false">IF(H952="","",C952&amp;"|"&amp;(COUNTIFS($C$2:$C$1000,C952,$H$2:$H$1000,"&gt;"&amp;H952)+1))</f>
        <v/>
      </c>
    </row>
    <row r="953" customFormat="false" ht="15" hidden="false" customHeight="false" outlineLevel="0" collapsed="false">
      <c r="A953" s="8" t="str">
        <f aca="false">IF(F953="","",COUNTIF($F$2:$F$1000,"&gt;"&amp;F953)+1)</f>
        <v/>
      </c>
      <c r="B953" s="9"/>
      <c r="C953" s="10"/>
      <c r="D953" s="11" t="str">
        <f aca="false">IF(C953="","",IFERROR(INDEX(Summary!$B$2:$B$14,MATCH(C953,Summary!$A$2:$A$14,0)),"?"))</f>
        <v/>
      </c>
      <c r="E953" s="11" t="str">
        <f aca="false">IF(C953="","",IFERROR(INDEX(Summary!$C$2:$C$14,MATCH(C953,Summary!$A$2:$A$14,0)),"?"))</f>
        <v/>
      </c>
      <c r="F953" s="12"/>
      <c r="H953" s="0" t="str">
        <f aca="false">IF(OR(B953="",F953=""),"",F953-ROW()/100000)</f>
        <v/>
      </c>
      <c r="I953" s="0" t="str">
        <f aca="false">IF(H953="","",C953&amp;"|"&amp;(COUNTIFS($C$2:$C$1000,C953,$H$2:$H$1000,"&gt;"&amp;H953)+1))</f>
        <v/>
      </c>
    </row>
    <row r="954" customFormat="false" ht="15" hidden="false" customHeight="false" outlineLevel="0" collapsed="false">
      <c r="A954" s="8" t="str">
        <f aca="false">IF(F954="","",COUNTIF($F$2:$F$1000,"&gt;"&amp;F954)+1)</f>
        <v/>
      </c>
      <c r="B954" s="9"/>
      <c r="C954" s="10"/>
      <c r="D954" s="11" t="str">
        <f aca="false">IF(C954="","",IFERROR(INDEX(Summary!$B$2:$B$14,MATCH(C954,Summary!$A$2:$A$14,0)),"?"))</f>
        <v/>
      </c>
      <c r="E954" s="11" t="str">
        <f aca="false">IF(C954="","",IFERROR(INDEX(Summary!$C$2:$C$14,MATCH(C954,Summary!$A$2:$A$14,0)),"?"))</f>
        <v/>
      </c>
      <c r="F954" s="12"/>
      <c r="H954" s="0" t="str">
        <f aca="false">IF(OR(B954="",F954=""),"",F954-ROW()/100000)</f>
        <v/>
      </c>
      <c r="I954" s="0" t="str">
        <f aca="false">IF(H954="","",C954&amp;"|"&amp;(COUNTIFS($C$2:$C$1000,C954,$H$2:$H$1000,"&gt;"&amp;H954)+1))</f>
        <v/>
      </c>
    </row>
    <row r="955" customFormat="false" ht="15" hidden="false" customHeight="false" outlineLevel="0" collapsed="false">
      <c r="A955" s="8" t="str">
        <f aca="false">IF(F955="","",COUNTIF($F$2:$F$1000,"&gt;"&amp;F955)+1)</f>
        <v/>
      </c>
      <c r="B955" s="9"/>
      <c r="C955" s="10"/>
      <c r="D955" s="11" t="str">
        <f aca="false">IF(C955="","",IFERROR(INDEX(Summary!$B$2:$B$14,MATCH(C955,Summary!$A$2:$A$14,0)),"?"))</f>
        <v/>
      </c>
      <c r="E955" s="11" t="str">
        <f aca="false">IF(C955="","",IFERROR(INDEX(Summary!$C$2:$C$14,MATCH(C955,Summary!$A$2:$A$14,0)),"?"))</f>
        <v/>
      </c>
      <c r="F955" s="12"/>
      <c r="H955" s="0" t="str">
        <f aca="false">IF(OR(B955="",F955=""),"",F955-ROW()/100000)</f>
        <v/>
      </c>
      <c r="I955" s="0" t="str">
        <f aca="false">IF(H955="","",C955&amp;"|"&amp;(COUNTIFS($C$2:$C$1000,C955,$H$2:$H$1000,"&gt;"&amp;H955)+1))</f>
        <v/>
      </c>
    </row>
    <row r="956" customFormat="false" ht="15" hidden="false" customHeight="false" outlineLevel="0" collapsed="false">
      <c r="A956" s="8" t="str">
        <f aca="false">IF(F956="","",COUNTIF($F$2:$F$1000,"&gt;"&amp;F956)+1)</f>
        <v/>
      </c>
      <c r="B956" s="9"/>
      <c r="C956" s="10"/>
      <c r="D956" s="11" t="str">
        <f aca="false">IF(C956="","",IFERROR(INDEX(Summary!$B$2:$B$14,MATCH(C956,Summary!$A$2:$A$14,0)),"?"))</f>
        <v/>
      </c>
      <c r="E956" s="11" t="str">
        <f aca="false">IF(C956="","",IFERROR(INDEX(Summary!$C$2:$C$14,MATCH(C956,Summary!$A$2:$A$14,0)),"?"))</f>
        <v/>
      </c>
      <c r="F956" s="12"/>
      <c r="H956" s="0" t="str">
        <f aca="false">IF(OR(B956="",F956=""),"",F956-ROW()/100000)</f>
        <v/>
      </c>
      <c r="I956" s="0" t="str">
        <f aca="false">IF(H956="","",C956&amp;"|"&amp;(COUNTIFS($C$2:$C$1000,C956,$H$2:$H$1000,"&gt;"&amp;H956)+1))</f>
        <v/>
      </c>
    </row>
    <row r="957" customFormat="false" ht="15" hidden="false" customHeight="false" outlineLevel="0" collapsed="false">
      <c r="A957" s="8" t="str">
        <f aca="false">IF(F957="","",COUNTIF($F$2:$F$1000,"&gt;"&amp;F957)+1)</f>
        <v/>
      </c>
      <c r="B957" s="9"/>
      <c r="C957" s="10"/>
      <c r="D957" s="11" t="str">
        <f aca="false">IF(C957="","",IFERROR(INDEX(Summary!$B$2:$B$14,MATCH(C957,Summary!$A$2:$A$14,0)),"?"))</f>
        <v/>
      </c>
      <c r="E957" s="11" t="str">
        <f aca="false">IF(C957="","",IFERROR(INDEX(Summary!$C$2:$C$14,MATCH(C957,Summary!$A$2:$A$14,0)),"?"))</f>
        <v/>
      </c>
      <c r="F957" s="12"/>
      <c r="H957" s="0" t="str">
        <f aca="false">IF(OR(B957="",F957=""),"",F957-ROW()/100000)</f>
        <v/>
      </c>
      <c r="I957" s="0" t="str">
        <f aca="false">IF(H957="","",C957&amp;"|"&amp;(COUNTIFS($C$2:$C$1000,C957,$H$2:$H$1000,"&gt;"&amp;H957)+1))</f>
        <v/>
      </c>
    </row>
    <row r="958" customFormat="false" ht="15" hidden="false" customHeight="false" outlineLevel="0" collapsed="false">
      <c r="A958" s="8" t="str">
        <f aca="false">IF(F958="","",COUNTIF($F$2:$F$1000,"&gt;"&amp;F958)+1)</f>
        <v/>
      </c>
      <c r="B958" s="9"/>
      <c r="C958" s="10"/>
      <c r="D958" s="11" t="str">
        <f aca="false">IF(C958="","",IFERROR(INDEX(Summary!$B$2:$B$14,MATCH(C958,Summary!$A$2:$A$14,0)),"?"))</f>
        <v/>
      </c>
      <c r="E958" s="11" t="str">
        <f aca="false">IF(C958="","",IFERROR(INDEX(Summary!$C$2:$C$14,MATCH(C958,Summary!$A$2:$A$14,0)),"?"))</f>
        <v/>
      </c>
      <c r="F958" s="12"/>
      <c r="H958" s="0" t="str">
        <f aca="false">IF(OR(B958="",F958=""),"",F958-ROW()/100000)</f>
        <v/>
      </c>
      <c r="I958" s="0" t="str">
        <f aca="false">IF(H958="","",C958&amp;"|"&amp;(COUNTIFS($C$2:$C$1000,C958,$H$2:$H$1000,"&gt;"&amp;H958)+1))</f>
        <v/>
      </c>
    </row>
    <row r="959" customFormat="false" ht="15" hidden="false" customHeight="false" outlineLevel="0" collapsed="false">
      <c r="A959" s="8" t="str">
        <f aca="false">IF(F959="","",COUNTIF($F$2:$F$1000,"&gt;"&amp;F959)+1)</f>
        <v/>
      </c>
      <c r="B959" s="9"/>
      <c r="C959" s="10"/>
      <c r="D959" s="11" t="str">
        <f aca="false">IF(C959="","",IFERROR(INDEX(Summary!$B$2:$B$14,MATCH(C959,Summary!$A$2:$A$14,0)),"?"))</f>
        <v/>
      </c>
      <c r="E959" s="11" t="str">
        <f aca="false">IF(C959="","",IFERROR(INDEX(Summary!$C$2:$C$14,MATCH(C959,Summary!$A$2:$A$14,0)),"?"))</f>
        <v/>
      </c>
      <c r="F959" s="12"/>
      <c r="H959" s="0" t="str">
        <f aca="false">IF(OR(B959="",F959=""),"",F959-ROW()/100000)</f>
        <v/>
      </c>
      <c r="I959" s="0" t="str">
        <f aca="false">IF(H959="","",C959&amp;"|"&amp;(COUNTIFS($C$2:$C$1000,C959,$H$2:$H$1000,"&gt;"&amp;H959)+1))</f>
        <v/>
      </c>
    </row>
    <row r="960" customFormat="false" ht="15" hidden="false" customHeight="false" outlineLevel="0" collapsed="false">
      <c r="A960" s="8" t="str">
        <f aca="false">IF(F960="","",COUNTIF($F$2:$F$1000,"&gt;"&amp;F960)+1)</f>
        <v/>
      </c>
      <c r="B960" s="9"/>
      <c r="C960" s="10"/>
      <c r="D960" s="11" t="str">
        <f aca="false">IF(C960="","",IFERROR(INDEX(Summary!$B$2:$B$14,MATCH(C960,Summary!$A$2:$A$14,0)),"?"))</f>
        <v/>
      </c>
      <c r="E960" s="11" t="str">
        <f aca="false">IF(C960="","",IFERROR(INDEX(Summary!$C$2:$C$14,MATCH(C960,Summary!$A$2:$A$14,0)),"?"))</f>
        <v/>
      </c>
      <c r="F960" s="12"/>
      <c r="H960" s="0" t="str">
        <f aca="false">IF(OR(B960="",F960=""),"",F960-ROW()/100000)</f>
        <v/>
      </c>
      <c r="I960" s="0" t="str">
        <f aca="false">IF(H960="","",C960&amp;"|"&amp;(COUNTIFS($C$2:$C$1000,C960,$H$2:$H$1000,"&gt;"&amp;H960)+1))</f>
        <v/>
      </c>
    </row>
    <row r="961" customFormat="false" ht="15" hidden="false" customHeight="false" outlineLevel="0" collapsed="false">
      <c r="A961" s="8" t="str">
        <f aca="false">IF(F961="","",COUNTIF($F$2:$F$1000,"&gt;"&amp;F961)+1)</f>
        <v/>
      </c>
      <c r="B961" s="9"/>
      <c r="C961" s="10"/>
      <c r="D961" s="11" t="str">
        <f aca="false">IF(C961="","",IFERROR(INDEX(Summary!$B$2:$B$14,MATCH(C961,Summary!$A$2:$A$14,0)),"?"))</f>
        <v/>
      </c>
      <c r="E961" s="11" t="str">
        <f aca="false">IF(C961="","",IFERROR(INDEX(Summary!$C$2:$C$14,MATCH(C961,Summary!$A$2:$A$14,0)),"?"))</f>
        <v/>
      </c>
      <c r="F961" s="12"/>
      <c r="H961" s="0" t="str">
        <f aca="false">IF(OR(B961="",F961=""),"",F961-ROW()/100000)</f>
        <v/>
      </c>
      <c r="I961" s="0" t="str">
        <f aca="false">IF(H961="","",C961&amp;"|"&amp;(COUNTIFS($C$2:$C$1000,C961,$H$2:$H$1000,"&gt;"&amp;H961)+1))</f>
        <v/>
      </c>
    </row>
    <row r="962" customFormat="false" ht="15" hidden="false" customHeight="false" outlineLevel="0" collapsed="false">
      <c r="A962" s="8" t="str">
        <f aca="false">IF(F962="","",COUNTIF($F$2:$F$1000,"&gt;"&amp;F962)+1)</f>
        <v/>
      </c>
      <c r="B962" s="9"/>
      <c r="C962" s="10"/>
      <c r="D962" s="11" t="str">
        <f aca="false">IF(C962="","",IFERROR(INDEX(Summary!$B$2:$B$14,MATCH(C962,Summary!$A$2:$A$14,0)),"?"))</f>
        <v/>
      </c>
      <c r="E962" s="11" t="str">
        <f aca="false">IF(C962="","",IFERROR(INDEX(Summary!$C$2:$C$14,MATCH(C962,Summary!$A$2:$A$14,0)),"?"))</f>
        <v/>
      </c>
      <c r="F962" s="12"/>
      <c r="H962" s="0" t="str">
        <f aca="false">IF(OR(B962="",F962=""),"",F962-ROW()/100000)</f>
        <v/>
      </c>
      <c r="I962" s="0" t="str">
        <f aca="false">IF(H962="","",C962&amp;"|"&amp;(COUNTIFS($C$2:$C$1000,C962,$H$2:$H$1000,"&gt;"&amp;H962)+1))</f>
        <v/>
      </c>
    </row>
    <row r="963" customFormat="false" ht="15" hidden="false" customHeight="false" outlineLevel="0" collapsed="false">
      <c r="A963" s="8" t="str">
        <f aca="false">IF(F963="","",COUNTIF($F$2:$F$1000,"&gt;"&amp;F963)+1)</f>
        <v/>
      </c>
      <c r="B963" s="9"/>
      <c r="C963" s="10"/>
      <c r="D963" s="11" t="str">
        <f aca="false">IF(C963="","",IFERROR(INDEX(Summary!$B$2:$B$14,MATCH(C963,Summary!$A$2:$A$14,0)),"?"))</f>
        <v/>
      </c>
      <c r="E963" s="11" t="str">
        <f aca="false">IF(C963="","",IFERROR(INDEX(Summary!$C$2:$C$14,MATCH(C963,Summary!$A$2:$A$14,0)),"?"))</f>
        <v/>
      </c>
      <c r="F963" s="12"/>
      <c r="H963" s="0" t="str">
        <f aca="false">IF(OR(B963="",F963=""),"",F963-ROW()/100000)</f>
        <v/>
      </c>
      <c r="I963" s="0" t="str">
        <f aca="false">IF(H963="","",C963&amp;"|"&amp;(COUNTIFS($C$2:$C$1000,C963,$H$2:$H$1000,"&gt;"&amp;H963)+1))</f>
        <v/>
      </c>
    </row>
    <row r="964" customFormat="false" ht="15" hidden="false" customHeight="false" outlineLevel="0" collapsed="false">
      <c r="A964" s="8" t="str">
        <f aca="false">IF(F964="","",COUNTIF($F$2:$F$1000,"&gt;"&amp;F964)+1)</f>
        <v/>
      </c>
      <c r="B964" s="9"/>
      <c r="C964" s="10"/>
      <c r="D964" s="11" t="str">
        <f aca="false">IF(C964="","",IFERROR(INDEX(Summary!$B$2:$B$14,MATCH(C964,Summary!$A$2:$A$14,0)),"?"))</f>
        <v/>
      </c>
      <c r="E964" s="11" t="str">
        <f aca="false">IF(C964="","",IFERROR(INDEX(Summary!$C$2:$C$14,MATCH(C964,Summary!$A$2:$A$14,0)),"?"))</f>
        <v/>
      </c>
      <c r="F964" s="12"/>
      <c r="H964" s="0" t="str">
        <f aca="false">IF(OR(B964="",F964=""),"",F964-ROW()/100000)</f>
        <v/>
      </c>
      <c r="I964" s="0" t="str">
        <f aca="false">IF(H964="","",C964&amp;"|"&amp;(COUNTIFS($C$2:$C$1000,C964,$H$2:$H$1000,"&gt;"&amp;H964)+1))</f>
        <v/>
      </c>
    </row>
    <row r="965" customFormat="false" ht="15" hidden="false" customHeight="false" outlineLevel="0" collapsed="false">
      <c r="A965" s="8" t="str">
        <f aca="false">IF(F965="","",COUNTIF($F$2:$F$1000,"&gt;"&amp;F965)+1)</f>
        <v/>
      </c>
      <c r="B965" s="9"/>
      <c r="C965" s="10"/>
      <c r="D965" s="11" t="str">
        <f aca="false">IF(C965="","",IFERROR(INDEX(Summary!$B$2:$B$14,MATCH(C965,Summary!$A$2:$A$14,0)),"?"))</f>
        <v/>
      </c>
      <c r="E965" s="11" t="str">
        <f aca="false">IF(C965="","",IFERROR(INDEX(Summary!$C$2:$C$14,MATCH(C965,Summary!$A$2:$A$14,0)),"?"))</f>
        <v/>
      </c>
      <c r="F965" s="12"/>
      <c r="H965" s="0" t="str">
        <f aca="false">IF(OR(B965="",F965=""),"",F965-ROW()/100000)</f>
        <v/>
      </c>
      <c r="I965" s="0" t="str">
        <f aca="false">IF(H965="","",C965&amp;"|"&amp;(COUNTIFS($C$2:$C$1000,C965,$H$2:$H$1000,"&gt;"&amp;H965)+1))</f>
        <v/>
      </c>
    </row>
    <row r="966" customFormat="false" ht="15" hidden="false" customHeight="false" outlineLevel="0" collapsed="false">
      <c r="A966" s="8" t="str">
        <f aca="false">IF(F966="","",COUNTIF($F$2:$F$1000,"&gt;"&amp;F966)+1)</f>
        <v/>
      </c>
      <c r="B966" s="9"/>
      <c r="C966" s="10"/>
      <c r="D966" s="11" t="str">
        <f aca="false">IF(C966="","",IFERROR(INDEX(Summary!$B$2:$B$14,MATCH(C966,Summary!$A$2:$A$14,0)),"?"))</f>
        <v/>
      </c>
      <c r="E966" s="11" t="str">
        <f aca="false">IF(C966="","",IFERROR(INDEX(Summary!$C$2:$C$14,MATCH(C966,Summary!$A$2:$A$14,0)),"?"))</f>
        <v/>
      </c>
      <c r="F966" s="12"/>
      <c r="H966" s="0" t="str">
        <f aca="false">IF(OR(B966="",F966=""),"",F966-ROW()/100000)</f>
        <v/>
      </c>
      <c r="I966" s="0" t="str">
        <f aca="false">IF(H966="","",C966&amp;"|"&amp;(COUNTIFS($C$2:$C$1000,C966,$H$2:$H$1000,"&gt;"&amp;H966)+1))</f>
        <v/>
      </c>
    </row>
    <row r="967" customFormat="false" ht="15" hidden="false" customHeight="false" outlineLevel="0" collapsed="false">
      <c r="A967" s="8" t="str">
        <f aca="false">IF(F967="","",COUNTIF($F$2:$F$1000,"&gt;"&amp;F967)+1)</f>
        <v/>
      </c>
      <c r="B967" s="9"/>
      <c r="C967" s="10"/>
      <c r="D967" s="11" t="str">
        <f aca="false">IF(C967="","",IFERROR(INDEX(Summary!$B$2:$B$14,MATCH(C967,Summary!$A$2:$A$14,0)),"?"))</f>
        <v/>
      </c>
      <c r="E967" s="11" t="str">
        <f aca="false">IF(C967="","",IFERROR(INDEX(Summary!$C$2:$C$14,MATCH(C967,Summary!$A$2:$A$14,0)),"?"))</f>
        <v/>
      </c>
      <c r="F967" s="12"/>
      <c r="H967" s="0" t="str">
        <f aca="false">IF(OR(B967="",F967=""),"",F967-ROW()/100000)</f>
        <v/>
      </c>
      <c r="I967" s="0" t="str">
        <f aca="false">IF(H967="","",C967&amp;"|"&amp;(COUNTIFS($C$2:$C$1000,C967,$H$2:$H$1000,"&gt;"&amp;H967)+1))</f>
        <v/>
      </c>
    </row>
    <row r="968" customFormat="false" ht="15" hidden="false" customHeight="false" outlineLevel="0" collapsed="false">
      <c r="A968" s="8" t="str">
        <f aca="false">IF(F968="","",COUNTIF($F$2:$F$1000,"&gt;"&amp;F968)+1)</f>
        <v/>
      </c>
      <c r="B968" s="9"/>
      <c r="C968" s="10"/>
      <c r="D968" s="11" t="str">
        <f aca="false">IF(C968="","",IFERROR(INDEX(Summary!$B$2:$B$14,MATCH(C968,Summary!$A$2:$A$14,0)),"?"))</f>
        <v/>
      </c>
      <c r="E968" s="11" t="str">
        <f aca="false">IF(C968="","",IFERROR(INDEX(Summary!$C$2:$C$14,MATCH(C968,Summary!$A$2:$A$14,0)),"?"))</f>
        <v/>
      </c>
      <c r="F968" s="12"/>
      <c r="H968" s="0" t="str">
        <f aca="false">IF(OR(B968="",F968=""),"",F968-ROW()/100000)</f>
        <v/>
      </c>
      <c r="I968" s="0" t="str">
        <f aca="false">IF(H968="","",C968&amp;"|"&amp;(COUNTIFS($C$2:$C$1000,C968,$H$2:$H$1000,"&gt;"&amp;H968)+1))</f>
        <v/>
      </c>
    </row>
    <row r="969" customFormat="false" ht="15" hidden="false" customHeight="false" outlineLevel="0" collapsed="false">
      <c r="A969" s="8" t="str">
        <f aca="false">IF(F969="","",COUNTIF($F$2:$F$1000,"&gt;"&amp;F969)+1)</f>
        <v/>
      </c>
      <c r="B969" s="9"/>
      <c r="C969" s="10"/>
      <c r="D969" s="11" t="str">
        <f aca="false">IF(C969="","",IFERROR(INDEX(Summary!$B$2:$B$14,MATCH(C969,Summary!$A$2:$A$14,0)),"?"))</f>
        <v/>
      </c>
      <c r="E969" s="11" t="str">
        <f aca="false">IF(C969="","",IFERROR(INDEX(Summary!$C$2:$C$14,MATCH(C969,Summary!$A$2:$A$14,0)),"?"))</f>
        <v/>
      </c>
      <c r="F969" s="12"/>
      <c r="H969" s="0" t="str">
        <f aca="false">IF(OR(B969="",F969=""),"",F969-ROW()/100000)</f>
        <v/>
      </c>
      <c r="I969" s="0" t="str">
        <f aca="false">IF(H969="","",C969&amp;"|"&amp;(COUNTIFS($C$2:$C$1000,C969,$H$2:$H$1000,"&gt;"&amp;H969)+1))</f>
        <v/>
      </c>
    </row>
    <row r="970" customFormat="false" ht="15" hidden="false" customHeight="false" outlineLevel="0" collapsed="false">
      <c r="A970" s="8" t="str">
        <f aca="false">IF(F970="","",COUNTIF($F$2:$F$1000,"&gt;"&amp;F970)+1)</f>
        <v/>
      </c>
      <c r="B970" s="9"/>
      <c r="C970" s="10"/>
      <c r="D970" s="11" t="str">
        <f aca="false">IF(C970="","",IFERROR(INDEX(Summary!$B$2:$B$14,MATCH(C970,Summary!$A$2:$A$14,0)),"?"))</f>
        <v/>
      </c>
      <c r="E970" s="11" t="str">
        <f aca="false">IF(C970="","",IFERROR(INDEX(Summary!$C$2:$C$14,MATCH(C970,Summary!$A$2:$A$14,0)),"?"))</f>
        <v/>
      </c>
      <c r="F970" s="12"/>
      <c r="H970" s="0" t="str">
        <f aca="false">IF(OR(B970="",F970=""),"",F970-ROW()/100000)</f>
        <v/>
      </c>
      <c r="I970" s="0" t="str">
        <f aca="false">IF(H970="","",C970&amp;"|"&amp;(COUNTIFS($C$2:$C$1000,C970,$H$2:$H$1000,"&gt;"&amp;H970)+1))</f>
        <v/>
      </c>
    </row>
    <row r="971" customFormat="false" ht="15" hidden="false" customHeight="false" outlineLevel="0" collapsed="false">
      <c r="A971" s="8" t="str">
        <f aca="false">IF(F971="","",COUNTIF($F$2:$F$1000,"&gt;"&amp;F971)+1)</f>
        <v/>
      </c>
      <c r="B971" s="9"/>
      <c r="C971" s="10"/>
      <c r="D971" s="11" t="str">
        <f aca="false">IF(C971="","",IFERROR(INDEX(Summary!$B$2:$B$14,MATCH(C971,Summary!$A$2:$A$14,0)),"?"))</f>
        <v/>
      </c>
      <c r="E971" s="11" t="str">
        <f aca="false">IF(C971="","",IFERROR(INDEX(Summary!$C$2:$C$14,MATCH(C971,Summary!$A$2:$A$14,0)),"?"))</f>
        <v/>
      </c>
      <c r="F971" s="12"/>
      <c r="H971" s="0" t="str">
        <f aca="false">IF(OR(B971="",F971=""),"",F971-ROW()/100000)</f>
        <v/>
      </c>
      <c r="I971" s="0" t="str">
        <f aca="false">IF(H971="","",C971&amp;"|"&amp;(COUNTIFS($C$2:$C$1000,C971,$H$2:$H$1000,"&gt;"&amp;H971)+1))</f>
        <v/>
      </c>
    </row>
    <row r="972" customFormat="false" ht="15" hidden="false" customHeight="false" outlineLevel="0" collapsed="false">
      <c r="A972" s="8" t="str">
        <f aca="false">IF(F972="","",COUNTIF($F$2:$F$1000,"&gt;"&amp;F972)+1)</f>
        <v/>
      </c>
      <c r="B972" s="9"/>
      <c r="C972" s="10"/>
      <c r="D972" s="11" t="str">
        <f aca="false">IF(C972="","",IFERROR(INDEX(Summary!$B$2:$B$14,MATCH(C972,Summary!$A$2:$A$14,0)),"?"))</f>
        <v/>
      </c>
      <c r="E972" s="11" t="str">
        <f aca="false">IF(C972="","",IFERROR(INDEX(Summary!$C$2:$C$14,MATCH(C972,Summary!$A$2:$A$14,0)),"?"))</f>
        <v/>
      </c>
      <c r="F972" s="12"/>
      <c r="H972" s="0" t="str">
        <f aca="false">IF(OR(B972="",F972=""),"",F972-ROW()/100000)</f>
        <v/>
      </c>
      <c r="I972" s="0" t="str">
        <f aca="false">IF(H972="","",C972&amp;"|"&amp;(COUNTIFS($C$2:$C$1000,C972,$H$2:$H$1000,"&gt;"&amp;H972)+1))</f>
        <v/>
      </c>
    </row>
    <row r="973" customFormat="false" ht="15" hidden="false" customHeight="false" outlineLevel="0" collapsed="false">
      <c r="A973" s="8" t="str">
        <f aca="false">IF(F973="","",COUNTIF($F$2:$F$1000,"&gt;"&amp;F973)+1)</f>
        <v/>
      </c>
      <c r="B973" s="9"/>
      <c r="C973" s="10"/>
      <c r="D973" s="11" t="str">
        <f aca="false">IF(C973="","",IFERROR(INDEX(Summary!$B$2:$B$14,MATCH(C973,Summary!$A$2:$A$14,0)),"?"))</f>
        <v/>
      </c>
      <c r="E973" s="11" t="str">
        <f aca="false">IF(C973="","",IFERROR(INDEX(Summary!$C$2:$C$14,MATCH(C973,Summary!$A$2:$A$14,0)),"?"))</f>
        <v/>
      </c>
      <c r="F973" s="12"/>
      <c r="H973" s="0" t="str">
        <f aca="false">IF(OR(B973="",F973=""),"",F973-ROW()/100000)</f>
        <v/>
      </c>
      <c r="I973" s="0" t="str">
        <f aca="false">IF(H973="","",C973&amp;"|"&amp;(COUNTIFS($C$2:$C$1000,C973,$H$2:$H$1000,"&gt;"&amp;H973)+1))</f>
        <v/>
      </c>
    </row>
    <row r="974" customFormat="false" ht="15" hidden="false" customHeight="false" outlineLevel="0" collapsed="false">
      <c r="A974" s="8" t="str">
        <f aca="false">IF(F974="","",COUNTIF($F$2:$F$1000,"&gt;"&amp;F974)+1)</f>
        <v/>
      </c>
      <c r="B974" s="9"/>
      <c r="C974" s="10"/>
      <c r="D974" s="11" t="str">
        <f aca="false">IF(C974="","",IFERROR(INDEX(Summary!$B$2:$B$14,MATCH(C974,Summary!$A$2:$A$14,0)),"?"))</f>
        <v/>
      </c>
      <c r="E974" s="11" t="str">
        <f aca="false">IF(C974="","",IFERROR(INDEX(Summary!$C$2:$C$14,MATCH(C974,Summary!$A$2:$A$14,0)),"?"))</f>
        <v/>
      </c>
      <c r="F974" s="12"/>
      <c r="H974" s="0" t="str">
        <f aca="false">IF(OR(B974="",F974=""),"",F974-ROW()/100000)</f>
        <v/>
      </c>
      <c r="I974" s="0" t="str">
        <f aca="false">IF(H974="","",C974&amp;"|"&amp;(COUNTIFS($C$2:$C$1000,C974,$H$2:$H$1000,"&gt;"&amp;H974)+1))</f>
        <v/>
      </c>
    </row>
    <row r="975" customFormat="false" ht="15" hidden="false" customHeight="false" outlineLevel="0" collapsed="false">
      <c r="A975" s="8" t="str">
        <f aca="false">IF(F975="","",COUNTIF($F$2:$F$1000,"&gt;"&amp;F975)+1)</f>
        <v/>
      </c>
      <c r="B975" s="9"/>
      <c r="C975" s="10"/>
      <c r="D975" s="11" t="str">
        <f aca="false">IF(C975="","",IFERROR(INDEX(Summary!$B$2:$B$14,MATCH(C975,Summary!$A$2:$A$14,0)),"?"))</f>
        <v/>
      </c>
      <c r="E975" s="11" t="str">
        <f aca="false">IF(C975="","",IFERROR(INDEX(Summary!$C$2:$C$14,MATCH(C975,Summary!$A$2:$A$14,0)),"?"))</f>
        <v/>
      </c>
      <c r="F975" s="12"/>
      <c r="H975" s="0" t="str">
        <f aca="false">IF(OR(B975="",F975=""),"",F975-ROW()/100000)</f>
        <v/>
      </c>
      <c r="I975" s="0" t="str">
        <f aca="false">IF(H975="","",C975&amp;"|"&amp;(COUNTIFS($C$2:$C$1000,C975,$H$2:$H$1000,"&gt;"&amp;H975)+1))</f>
        <v/>
      </c>
    </row>
    <row r="976" customFormat="false" ht="15" hidden="false" customHeight="false" outlineLevel="0" collapsed="false">
      <c r="A976" s="8" t="str">
        <f aca="false">IF(F976="","",COUNTIF($F$2:$F$1000,"&gt;"&amp;F976)+1)</f>
        <v/>
      </c>
      <c r="B976" s="9"/>
      <c r="C976" s="10"/>
      <c r="D976" s="11" t="str">
        <f aca="false">IF(C976="","",IFERROR(INDEX(Summary!$B$2:$B$14,MATCH(C976,Summary!$A$2:$A$14,0)),"?"))</f>
        <v/>
      </c>
      <c r="E976" s="11" t="str">
        <f aca="false">IF(C976="","",IFERROR(INDEX(Summary!$C$2:$C$14,MATCH(C976,Summary!$A$2:$A$14,0)),"?"))</f>
        <v/>
      </c>
      <c r="F976" s="12"/>
      <c r="H976" s="0" t="str">
        <f aca="false">IF(OR(B976="",F976=""),"",F976-ROW()/100000)</f>
        <v/>
      </c>
      <c r="I976" s="0" t="str">
        <f aca="false">IF(H976="","",C976&amp;"|"&amp;(COUNTIFS($C$2:$C$1000,C976,$H$2:$H$1000,"&gt;"&amp;H976)+1))</f>
        <v/>
      </c>
    </row>
    <row r="977" customFormat="false" ht="15" hidden="false" customHeight="false" outlineLevel="0" collapsed="false">
      <c r="A977" s="8" t="str">
        <f aca="false">IF(F977="","",COUNTIF($F$2:$F$1000,"&gt;"&amp;F977)+1)</f>
        <v/>
      </c>
      <c r="B977" s="9"/>
      <c r="C977" s="10"/>
      <c r="D977" s="11" t="str">
        <f aca="false">IF(C977="","",IFERROR(INDEX(Summary!$B$2:$B$14,MATCH(C977,Summary!$A$2:$A$14,0)),"?"))</f>
        <v/>
      </c>
      <c r="E977" s="11" t="str">
        <f aca="false">IF(C977="","",IFERROR(INDEX(Summary!$C$2:$C$14,MATCH(C977,Summary!$A$2:$A$14,0)),"?"))</f>
        <v/>
      </c>
      <c r="F977" s="12"/>
      <c r="H977" s="0" t="str">
        <f aca="false">IF(OR(B977="",F977=""),"",F977-ROW()/100000)</f>
        <v/>
      </c>
      <c r="I977" s="0" t="str">
        <f aca="false">IF(H977="","",C977&amp;"|"&amp;(COUNTIFS($C$2:$C$1000,C977,$H$2:$H$1000,"&gt;"&amp;H977)+1))</f>
        <v/>
      </c>
    </row>
    <row r="978" customFormat="false" ht="15" hidden="false" customHeight="false" outlineLevel="0" collapsed="false">
      <c r="A978" s="8" t="str">
        <f aca="false">IF(F978="","",COUNTIF($F$2:$F$1000,"&gt;"&amp;F978)+1)</f>
        <v/>
      </c>
      <c r="B978" s="9"/>
      <c r="C978" s="10"/>
      <c r="D978" s="11" t="str">
        <f aca="false">IF(C978="","",IFERROR(INDEX(Summary!$B$2:$B$14,MATCH(C978,Summary!$A$2:$A$14,0)),"?"))</f>
        <v/>
      </c>
      <c r="E978" s="11" t="str">
        <f aca="false">IF(C978="","",IFERROR(INDEX(Summary!$C$2:$C$14,MATCH(C978,Summary!$A$2:$A$14,0)),"?"))</f>
        <v/>
      </c>
      <c r="F978" s="12"/>
      <c r="H978" s="0" t="str">
        <f aca="false">IF(OR(B978="",F978=""),"",F978-ROW()/100000)</f>
        <v/>
      </c>
      <c r="I978" s="0" t="str">
        <f aca="false">IF(H978="","",C978&amp;"|"&amp;(COUNTIFS($C$2:$C$1000,C978,$H$2:$H$1000,"&gt;"&amp;H978)+1))</f>
        <v/>
      </c>
    </row>
    <row r="979" customFormat="false" ht="15" hidden="false" customHeight="false" outlineLevel="0" collapsed="false">
      <c r="A979" s="8" t="str">
        <f aca="false">IF(F979="","",COUNTIF($F$2:$F$1000,"&gt;"&amp;F979)+1)</f>
        <v/>
      </c>
      <c r="B979" s="9"/>
      <c r="C979" s="10"/>
      <c r="D979" s="11" t="str">
        <f aca="false">IF(C979="","",IFERROR(INDEX(Summary!$B$2:$B$14,MATCH(C979,Summary!$A$2:$A$14,0)),"?"))</f>
        <v/>
      </c>
      <c r="E979" s="11" t="str">
        <f aca="false">IF(C979="","",IFERROR(INDEX(Summary!$C$2:$C$14,MATCH(C979,Summary!$A$2:$A$14,0)),"?"))</f>
        <v/>
      </c>
      <c r="F979" s="12"/>
      <c r="H979" s="0" t="str">
        <f aca="false">IF(OR(B979="",F979=""),"",F979-ROW()/100000)</f>
        <v/>
      </c>
      <c r="I979" s="0" t="str">
        <f aca="false">IF(H979="","",C979&amp;"|"&amp;(COUNTIFS($C$2:$C$1000,C979,$H$2:$H$1000,"&gt;"&amp;H979)+1))</f>
        <v/>
      </c>
    </row>
    <row r="980" customFormat="false" ht="15" hidden="false" customHeight="false" outlineLevel="0" collapsed="false">
      <c r="A980" s="8" t="str">
        <f aca="false">IF(F980="","",COUNTIF($F$2:$F$1000,"&gt;"&amp;F980)+1)</f>
        <v/>
      </c>
      <c r="B980" s="9"/>
      <c r="C980" s="10"/>
      <c r="D980" s="11" t="str">
        <f aca="false">IF(C980="","",IFERROR(INDEX(Summary!$B$2:$B$14,MATCH(C980,Summary!$A$2:$A$14,0)),"?"))</f>
        <v/>
      </c>
      <c r="E980" s="11" t="str">
        <f aca="false">IF(C980="","",IFERROR(INDEX(Summary!$C$2:$C$14,MATCH(C980,Summary!$A$2:$A$14,0)),"?"))</f>
        <v/>
      </c>
      <c r="F980" s="12"/>
      <c r="H980" s="0" t="str">
        <f aca="false">IF(OR(B980="",F980=""),"",F980-ROW()/100000)</f>
        <v/>
      </c>
      <c r="I980" s="0" t="str">
        <f aca="false">IF(H980="","",C980&amp;"|"&amp;(COUNTIFS($C$2:$C$1000,C980,$H$2:$H$1000,"&gt;"&amp;H980)+1))</f>
        <v/>
      </c>
    </row>
    <row r="981" customFormat="false" ht="15" hidden="false" customHeight="false" outlineLevel="0" collapsed="false">
      <c r="A981" s="8" t="str">
        <f aca="false">IF(F981="","",COUNTIF($F$2:$F$1000,"&gt;"&amp;F981)+1)</f>
        <v/>
      </c>
      <c r="B981" s="9"/>
      <c r="C981" s="10"/>
      <c r="D981" s="11" t="str">
        <f aca="false">IF(C981="","",IFERROR(INDEX(Summary!$B$2:$B$14,MATCH(C981,Summary!$A$2:$A$14,0)),"?"))</f>
        <v/>
      </c>
      <c r="E981" s="11" t="str">
        <f aca="false">IF(C981="","",IFERROR(INDEX(Summary!$C$2:$C$14,MATCH(C981,Summary!$A$2:$A$14,0)),"?"))</f>
        <v/>
      </c>
      <c r="F981" s="12"/>
      <c r="H981" s="0" t="str">
        <f aca="false">IF(OR(B981="",F981=""),"",F981-ROW()/100000)</f>
        <v/>
      </c>
      <c r="I981" s="0" t="str">
        <f aca="false">IF(H981="","",C981&amp;"|"&amp;(COUNTIFS($C$2:$C$1000,C981,$H$2:$H$1000,"&gt;"&amp;H981)+1))</f>
        <v/>
      </c>
    </row>
    <row r="982" customFormat="false" ht="15" hidden="false" customHeight="false" outlineLevel="0" collapsed="false">
      <c r="A982" s="8" t="str">
        <f aca="false">IF(F982="","",COUNTIF($F$2:$F$1000,"&gt;"&amp;F982)+1)</f>
        <v/>
      </c>
      <c r="B982" s="9"/>
      <c r="C982" s="10"/>
      <c r="D982" s="11" t="str">
        <f aca="false">IF(C982="","",IFERROR(INDEX(Summary!$B$2:$B$14,MATCH(C982,Summary!$A$2:$A$14,0)),"?"))</f>
        <v/>
      </c>
      <c r="E982" s="11" t="str">
        <f aca="false">IF(C982="","",IFERROR(INDEX(Summary!$C$2:$C$14,MATCH(C982,Summary!$A$2:$A$14,0)),"?"))</f>
        <v/>
      </c>
      <c r="F982" s="12"/>
      <c r="H982" s="0" t="str">
        <f aca="false">IF(OR(B982="",F982=""),"",F982-ROW()/100000)</f>
        <v/>
      </c>
      <c r="I982" s="0" t="str">
        <f aca="false">IF(H982="","",C982&amp;"|"&amp;(COUNTIFS($C$2:$C$1000,C982,$H$2:$H$1000,"&gt;"&amp;H982)+1))</f>
        <v/>
      </c>
    </row>
    <row r="983" customFormat="false" ht="15" hidden="false" customHeight="false" outlineLevel="0" collapsed="false">
      <c r="A983" s="8" t="str">
        <f aca="false">IF(F983="","",COUNTIF($F$2:$F$1000,"&gt;"&amp;F983)+1)</f>
        <v/>
      </c>
      <c r="B983" s="9"/>
      <c r="C983" s="10"/>
      <c r="D983" s="11" t="str">
        <f aca="false">IF(C983="","",IFERROR(INDEX(Summary!$B$2:$B$14,MATCH(C983,Summary!$A$2:$A$14,0)),"?"))</f>
        <v/>
      </c>
      <c r="E983" s="11" t="str">
        <f aca="false">IF(C983="","",IFERROR(INDEX(Summary!$C$2:$C$14,MATCH(C983,Summary!$A$2:$A$14,0)),"?"))</f>
        <v/>
      </c>
      <c r="F983" s="12"/>
      <c r="H983" s="0" t="str">
        <f aca="false">IF(OR(B983="",F983=""),"",F983-ROW()/100000)</f>
        <v/>
      </c>
      <c r="I983" s="0" t="str">
        <f aca="false">IF(H983="","",C983&amp;"|"&amp;(COUNTIFS($C$2:$C$1000,C983,$H$2:$H$1000,"&gt;"&amp;H983)+1))</f>
        <v/>
      </c>
    </row>
    <row r="984" customFormat="false" ht="15" hidden="false" customHeight="false" outlineLevel="0" collapsed="false">
      <c r="A984" s="8" t="str">
        <f aca="false">IF(F984="","",COUNTIF($F$2:$F$1000,"&gt;"&amp;F984)+1)</f>
        <v/>
      </c>
      <c r="B984" s="9"/>
      <c r="C984" s="10"/>
      <c r="D984" s="11" t="str">
        <f aca="false">IF(C984="","",IFERROR(INDEX(Summary!$B$2:$B$14,MATCH(C984,Summary!$A$2:$A$14,0)),"?"))</f>
        <v/>
      </c>
      <c r="E984" s="11" t="str">
        <f aca="false">IF(C984="","",IFERROR(INDEX(Summary!$C$2:$C$14,MATCH(C984,Summary!$A$2:$A$14,0)),"?"))</f>
        <v/>
      </c>
      <c r="F984" s="12"/>
      <c r="H984" s="0" t="str">
        <f aca="false">IF(OR(B984="",F984=""),"",F984-ROW()/100000)</f>
        <v/>
      </c>
      <c r="I984" s="0" t="str">
        <f aca="false">IF(H984="","",C984&amp;"|"&amp;(COUNTIFS($C$2:$C$1000,C984,$H$2:$H$1000,"&gt;"&amp;H984)+1))</f>
        <v/>
      </c>
    </row>
    <row r="985" customFormat="false" ht="15" hidden="false" customHeight="false" outlineLevel="0" collapsed="false">
      <c r="A985" s="8" t="str">
        <f aca="false">IF(F985="","",COUNTIF($F$2:$F$1000,"&gt;"&amp;F985)+1)</f>
        <v/>
      </c>
      <c r="B985" s="9"/>
      <c r="C985" s="10"/>
      <c r="D985" s="11" t="str">
        <f aca="false">IF(C985="","",IFERROR(INDEX(Summary!$B$2:$B$14,MATCH(C985,Summary!$A$2:$A$14,0)),"?"))</f>
        <v/>
      </c>
      <c r="E985" s="11" t="str">
        <f aca="false">IF(C985="","",IFERROR(INDEX(Summary!$C$2:$C$14,MATCH(C985,Summary!$A$2:$A$14,0)),"?"))</f>
        <v/>
      </c>
      <c r="F985" s="12"/>
      <c r="H985" s="0" t="str">
        <f aca="false">IF(OR(B985="",F985=""),"",F985-ROW()/100000)</f>
        <v/>
      </c>
      <c r="I985" s="0" t="str">
        <f aca="false">IF(H985="","",C985&amp;"|"&amp;(COUNTIFS($C$2:$C$1000,C985,$H$2:$H$1000,"&gt;"&amp;H985)+1))</f>
        <v/>
      </c>
    </row>
    <row r="986" customFormat="false" ht="15" hidden="false" customHeight="false" outlineLevel="0" collapsed="false">
      <c r="A986" s="8" t="str">
        <f aca="false">IF(F986="","",COUNTIF($F$2:$F$1000,"&gt;"&amp;F986)+1)</f>
        <v/>
      </c>
      <c r="B986" s="9"/>
      <c r="C986" s="10"/>
      <c r="D986" s="11" t="str">
        <f aca="false">IF(C986="","",IFERROR(INDEX(Summary!$B$2:$B$14,MATCH(C986,Summary!$A$2:$A$14,0)),"?"))</f>
        <v/>
      </c>
      <c r="E986" s="11" t="str">
        <f aca="false">IF(C986="","",IFERROR(INDEX(Summary!$C$2:$C$14,MATCH(C986,Summary!$A$2:$A$14,0)),"?"))</f>
        <v/>
      </c>
      <c r="F986" s="12"/>
      <c r="H986" s="0" t="str">
        <f aca="false">IF(OR(B986="",F986=""),"",F986-ROW()/100000)</f>
        <v/>
      </c>
      <c r="I986" s="0" t="str">
        <f aca="false">IF(H986="","",C986&amp;"|"&amp;(COUNTIFS($C$2:$C$1000,C986,$H$2:$H$1000,"&gt;"&amp;H986)+1))</f>
        <v/>
      </c>
    </row>
    <row r="987" customFormat="false" ht="15" hidden="false" customHeight="false" outlineLevel="0" collapsed="false">
      <c r="A987" s="8" t="str">
        <f aca="false">IF(F987="","",COUNTIF($F$2:$F$1000,"&gt;"&amp;F987)+1)</f>
        <v/>
      </c>
      <c r="B987" s="9"/>
      <c r="C987" s="10"/>
      <c r="D987" s="11" t="str">
        <f aca="false">IF(C987="","",IFERROR(INDEX(Summary!$B$2:$B$14,MATCH(C987,Summary!$A$2:$A$14,0)),"?"))</f>
        <v/>
      </c>
      <c r="E987" s="11" t="str">
        <f aca="false">IF(C987="","",IFERROR(INDEX(Summary!$C$2:$C$14,MATCH(C987,Summary!$A$2:$A$14,0)),"?"))</f>
        <v/>
      </c>
      <c r="F987" s="12"/>
      <c r="H987" s="0" t="str">
        <f aca="false">IF(OR(B987="",F987=""),"",F987-ROW()/100000)</f>
        <v/>
      </c>
      <c r="I987" s="0" t="str">
        <f aca="false">IF(H987="","",C987&amp;"|"&amp;(COUNTIFS($C$2:$C$1000,C987,$H$2:$H$1000,"&gt;"&amp;H987)+1))</f>
        <v/>
      </c>
    </row>
    <row r="988" customFormat="false" ht="15" hidden="false" customHeight="false" outlineLevel="0" collapsed="false">
      <c r="A988" s="8" t="str">
        <f aca="false">IF(F988="","",COUNTIF($F$2:$F$1000,"&gt;"&amp;F988)+1)</f>
        <v/>
      </c>
      <c r="B988" s="9"/>
      <c r="C988" s="10"/>
      <c r="D988" s="11" t="str">
        <f aca="false">IF(C988="","",IFERROR(INDEX(Summary!$B$2:$B$14,MATCH(C988,Summary!$A$2:$A$14,0)),"?"))</f>
        <v/>
      </c>
      <c r="E988" s="11" t="str">
        <f aca="false">IF(C988="","",IFERROR(INDEX(Summary!$C$2:$C$14,MATCH(C988,Summary!$A$2:$A$14,0)),"?"))</f>
        <v/>
      </c>
      <c r="F988" s="12"/>
      <c r="H988" s="0" t="str">
        <f aca="false">IF(OR(B988="",F988=""),"",F988-ROW()/100000)</f>
        <v/>
      </c>
      <c r="I988" s="0" t="str">
        <f aca="false">IF(H988="","",C988&amp;"|"&amp;(COUNTIFS($C$2:$C$1000,C988,$H$2:$H$1000,"&gt;"&amp;H988)+1))</f>
        <v/>
      </c>
    </row>
    <row r="989" customFormat="false" ht="15" hidden="false" customHeight="false" outlineLevel="0" collapsed="false">
      <c r="A989" s="8" t="str">
        <f aca="false">IF(F989="","",COUNTIF($F$2:$F$1000,"&gt;"&amp;F989)+1)</f>
        <v/>
      </c>
      <c r="B989" s="9"/>
      <c r="C989" s="10"/>
      <c r="D989" s="11" t="str">
        <f aca="false">IF(C989="","",IFERROR(INDEX(Summary!$B$2:$B$14,MATCH(C989,Summary!$A$2:$A$14,0)),"?"))</f>
        <v/>
      </c>
      <c r="E989" s="11" t="str">
        <f aca="false">IF(C989="","",IFERROR(INDEX(Summary!$C$2:$C$14,MATCH(C989,Summary!$A$2:$A$14,0)),"?"))</f>
        <v/>
      </c>
      <c r="F989" s="12"/>
      <c r="H989" s="0" t="str">
        <f aca="false">IF(OR(B989="",F989=""),"",F989-ROW()/100000)</f>
        <v/>
      </c>
      <c r="I989" s="0" t="str">
        <f aca="false">IF(H989="","",C989&amp;"|"&amp;(COUNTIFS($C$2:$C$1000,C989,$H$2:$H$1000,"&gt;"&amp;H989)+1))</f>
        <v/>
      </c>
    </row>
    <row r="990" customFormat="false" ht="15" hidden="false" customHeight="false" outlineLevel="0" collapsed="false">
      <c r="A990" s="8" t="str">
        <f aca="false">IF(F990="","",COUNTIF($F$2:$F$1000,"&gt;"&amp;F990)+1)</f>
        <v/>
      </c>
      <c r="B990" s="9"/>
      <c r="C990" s="10"/>
      <c r="D990" s="11" t="str">
        <f aca="false">IF(C990="","",IFERROR(INDEX(Summary!$B$2:$B$14,MATCH(C990,Summary!$A$2:$A$14,0)),"?"))</f>
        <v/>
      </c>
      <c r="E990" s="11" t="str">
        <f aca="false">IF(C990="","",IFERROR(INDEX(Summary!$C$2:$C$14,MATCH(C990,Summary!$A$2:$A$14,0)),"?"))</f>
        <v/>
      </c>
      <c r="F990" s="12"/>
      <c r="H990" s="0" t="str">
        <f aca="false">IF(OR(B990="",F990=""),"",F990-ROW()/100000)</f>
        <v/>
      </c>
      <c r="I990" s="0" t="str">
        <f aca="false">IF(H990="","",C990&amp;"|"&amp;(COUNTIFS($C$2:$C$1000,C990,$H$2:$H$1000,"&gt;"&amp;H990)+1))</f>
        <v/>
      </c>
    </row>
    <row r="991" customFormat="false" ht="15" hidden="false" customHeight="false" outlineLevel="0" collapsed="false">
      <c r="A991" s="8" t="str">
        <f aca="false">IF(F991="","",COUNTIF($F$2:$F$1000,"&gt;"&amp;F991)+1)</f>
        <v/>
      </c>
      <c r="B991" s="9"/>
      <c r="C991" s="10"/>
      <c r="D991" s="11" t="str">
        <f aca="false">IF(C991="","",IFERROR(INDEX(Summary!$B$2:$B$14,MATCH(C991,Summary!$A$2:$A$14,0)),"?"))</f>
        <v/>
      </c>
      <c r="E991" s="11" t="str">
        <f aca="false">IF(C991="","",IFERROR(INDEX(Summary!$C$2:$C$14,MATCH(C991,Summary!$A$2:$A$14,0)),"?"))</f>
        <v/>
      </c>
      <c r="F991" s="12"/>
      <c r="H991" s="0" t="str">
        <f aca="false">IF(OR(B991="",F991=""),"",F991-ROW()/100000)</f>
        <v/>
      </c>
      <c r="I991" s="0" t="str">
        <f aca="false">IF(H991="","",C991&amp;"|"&amp;(COUNTIFS($C$2:$C$1000,C991,$H$2:$H$1000,"&gt;"&amp;H991)+1))</f>
        <v/>
      </c>
    </row>
    <row r="992" customFormat="false" ht="15" hidden="false" customHeight="false" outlineLevel="0" collapsed="false">
      <c r="A992" s="8" t="str">
        <f aca="false">IF(F992="","",COUNTIF($F$2:$F$1000,"&gt;"&amp;F992)+1)</f>
        <v/>
      </c>
      <c r="B992" s="9"/>
      <c r="C992" s="10"/>
      <c r="D992" s="11" t="str">
        <f aca="false">IF(C992="","",IFERROR(INDEX(Summary!$B$2:$B$14,MATCH(C992,Summary!$A$2:$A$14,0)),"?"))</f>
        <v/>
      </c>
      <c r="E992" s="11" t="str">
        <f aca="false">IF(C992="","",IFERROR(INDEX(Summary!$C$2:$C$14,MATCH(C992,Summary!$A$2:$A$14,0)),"?"))</f>
        <v/>
      </c>
      <c r="F992" s="12"/>
      <c r="H992" s="0" t="str">
        <f aca="false">IF(OR(B992="",F992=""),"",F992-ROW()/100000)</f>
        <v/>
      </c>
      <c r="I992" s="0" t="str">
        <f aca="false">IF(H992="","",C992&amp;"|"&amp;(COUNTIFS($C$2:$C$1000,C992,$H$2:$H$1000,"&gt;"&amp;H992)+1))</f>
        <v/>
      </c>
    </row>
    <row r="993" customFormat="false" ht="15" hidden="false" customHeight="false" outlineLevel="0" collapsed="false">
      <c r="A993" s="8" t="str">
        <f aca="false">IF(F993="","",COUNTIF($F$2:$F$1000,"&gt;"&amp;F993)+1)</f>
        <v/>
      </c>
      <c r="B993" s="9"/>
      <c r="C993" s="10"/>
      <c r="D993" s="11" t="str">
        <f aca="false">IF(C993="","",IFERROR(INDEX(Summary!$B$2:$B$14,MATCH(C993,Summary!$A$2:$A$14,0)),"?"))</f>
        <v/>
      </c>
      <c r="E993" s="11" t="str">
        <f aca="false">IF(C993="","",IFERROR(INDEX(Summary!$C$2:$C$14,MATCH(C993,Summary!$A$2:$A$14,0)),"?"))</f>
        <v/>
      </c>
      <c r="F993" s="12"/>
      <c r="H993" s="0" t="str">
        <f aca="false">IF(OR(B993="",F993=""),"",F993-ROW()/100000)</f>
        <v/>
      </c>
      <c r="I993" s="0" t="str">
        <f aca="false">IF(H993="","",C993&amp;"|"&amp;(COUNTIFS($C$2:$C$1000,C993,$H$2:$H$1000,"&gt;"&amp;H993)+1))</f>
        <v/>
      </c>
    </row>
    <row r="994" customFormat="false" ht="15" hidden="false" customHeight="false" outlineLevel="0" collapsed="false">
      <c r="A994" s="8" t="str">
        <f aca="false">IF(F994="","",COUNTIF($F$2:$F$1000,"&gt;"&amp;F994)+1)</f>
        <v/>
      </c>
      <c r="B994" s="9"/>
      <c r="C994" s="10"/>
      <c r="D994" s="11" t="str">
        <f aca="false">IF(C994="","",IFERROR(INDEX(Summary!$B$2:$B$14,MATCH(C994,Summary!$A$2:$A$14,0)),"?"))</f>
        <v/>
      </c>
      <c r="E994" s="11" t="str">
        <f aca="false">IF(C994="","",IFERROR(INDEX(Summary!$C$2:$C$14,MATCH(C994,Summary!$A$2:$A$14,0)),"?"))</f>
        <v/>
      </c>
      <c r="F994" s="12"/>
      <c r="H994" s="0" t="str">
        <f aca="false">IF(OR(B994="",F994=""),"",F994-ROW()/100000)</f>
        <v/>
      </c>
      <c r="I994" s="0" t="str">
        <f aca="false">IF(H994="","",C994&amp;"|"&amp;(COUNTIFS($C$2:$C$1000,C994,$H$2:$H$1000,"&gt;"&amp;H994)+1))</f>
        <v/>
      </c>
    </row>
    <row r="995" customFormat="false" ht="15" hidden="false" customHeight="false" outlineLevel="0" collapsed="false">
      <c r="A995" s="8" t="str">
        <f aca="false">IF(F995="","",COUNTIF($F$2:$F$1000,"&gt;"&amp;F995)+1)</f>
        <v/>
      </c>
      <c r="B995" s="9"/>
      <c r="C995" s="10"/>
      <c r="D995" s="11" t="str">
        <f aca="false">IF(C995="","",IFERROR(INDEX(Summary!$B$2:$B$14,MATCH(C995,Summary!$A$2:$A$14,0)),"?"))</f>
        <v/>
      </c>
      <c r="E995" s="11" t="str">
        <f aca="false">IF(C995="","",IFERROR(INDEX(Summary!$C$2:$C$14,MATCH(C995,Summary!$A$2:$A$14,0)),"?"))</f>
        <v/>
      </c>
      <c r="F995" s="12"/>
      <c r="H995" s="0" t="str">
        <f aca="false">IF(OR(B995="",F995=""),"",F995-ROW()/100000)</f>
        <v/>
      </c>
      <c r="I995" s="0" t="str">
        <f aca="false">IF(H995="","",C995&amp;"|"&amp;(COUNTIFS($C$2:$C$1000,C995,$H$2:$H$1000,"&gt;"&amp;H995)+1))</f>
        <v/>
      </c>
    </row>
    <row r="996" customFormat="false" ht="15" hidden="false" customHeight="false" outlineLevel="0" collapsed="false">
      <c r="A996" s="8" t="str">
        <f aca="false">IF(F996="","",COUNTIF($F$2:$F$1000,"&gt;"&amp;F996)+1)</f>
        <v/>
      </c>
      <c r="B996" s="9"/>
      <c r="C996" s="10"/>
      <c r="D996" s="11" t="str">
        <f aca="false">IF(C996="","",IFERROR(INDEX(Summary!$B$2:$B$14,MATCH(C996,Summary!$A$2:$A$14,0)),"?"))</f>
        <v/>
      </c>
      <c r="E996" s="11" t="str">
        <f aca="false">IF(C996="","",IFERROR(INDEX(Summary!$C$2:$C$14,MATCH(C996,Summary!$A$2:$A$14,0)),"?"))</f>
        <v/>
      </c>
      <c r="F996" s="12"/>
      <c r="H996" s="0" t="str">
        <f aca="false">IF(OR(B996="",F996=""),"",F996-ROW()/100000)</f>
        <v/>
      </c>
      <c r="I996" s="0" t="str">
        <f aca="false">IF(H996="","",C996&amp;"|"&amp;(COUNTIFS($C$2:$C$1000,C996,$H$2:$H$1000,"&gt;"&amp;H996)+1))</f>
        <v/>
      </c>
    </row>
    <row r="997" customFormat="false" ht="15" hidden="false" customHeight="false" outlineLevel="0" collapsed="false">
      <c r="A997" s="8" t="str">
        <f aca="false">IF(F997="","",COUNTIF($F$2:$F$1000,"&gt;"&amp;F997)+1)</f>
        <v/>
      </c>
      <c r="B997" s="9"/>
      <c r="C997" s="10"/>
      <c r="D997" s="11" t="str">
        <f aca="false">IF(C997="","",IFERROR(INDEX(Summary!$B$2:$B$14,MATCH(C997,Summary!$A$2:$A$14,0)),"?"))</f>
        <v/>
      </c>
      <c r="E997" s="11" t="str">
        <f aca="false">IF(C997="","",IFERROR(INDEX(Summary!$C$2:$C$14,MATCH(C997,Summary!$A$2:$A$14,0)),"?"))</f>
        <v/>
      </c>
      <c r="F997" s="12"/>
      <c r="H997" s="0" t="str">
        <f aca="false">IF(OR(B997="",F997=""),"",F997-ROW()/100000)</f>
        <v/>
      </c>
      <c r="I997" s="0" t="str">
        <f aca="false">IF(H997="","",C997&amp;"|"&amp;(COUNTIFS($C$2:$C$1000,C997,$H$2:$H$1000,"&gt;"&amp;H997)+1))</f>
        <v/>
      </c>
    </row>
    <row r="998" customFormat="false" ht="15" hidden="false" customHeight="false" outlineLevel="0" collapsed="false">
      <c r="A998" s="8" t="str">
        <f aca="false">IF(F998="","",COUNTIF($F$2:$F$1000,"&gt;"&amp;F998)+1)</f>
        <v/>
      </c>
      <c r="B998" s="9"/>
      <c r="C998" s="10"/>
      <c r="D998" s="11" t="str">
        <f aca="false">IF(C998="","",IFERROR(INDEX(Summary!$B$2:$B$14,MATCH(C998,Summary!$A$2:$A$14,0)),"?"))</f>
        <v/>
      </c>
      <c r="E998" s="11" t="str">
        <f aca="false">IF(C998="","",IFERROR(INDEX(Summary!$C$2:$C$14,MATCH(C998,Summary!$A$2:$A$14,0)),"?"))</f>
        <v/>
      </c>
      <c r="F998" s="12"/>
      <c r="H998" s="0" t="str">
        <f aca="false">IF(OR(B998="",F998=""),"",F998-ROW()/100000)</f>
        <v/>
      </c>
      <c r="I998" s="0" t="str">
        <f aca="false">IF(H998="","",C998&amp;"|"&amp;(COUNTIFS($C$2:$C$1000,C998,$H$2:$H$1000,"&gt;"&amp;H998)+1))</f>
        <v/>
      </c>
    </row>
    <row r="999" customFormat="false" ht="15" hidden="false" customHeight="false" outlineLevel="0" collapsed="false">
      <c r="A999" s="8" t="str">
        <f aca="false">IF(F999="","",COUNTIF($F$2:$F$1000,"&gt;"&amp;F999)+1)</f>
        <v/>
      </c>
      <c r="B999" s="9"/>
      <c r="C999" s="10"/>
      <c r="D999" s="11" t="str">
        <f aca="false">IF(C999="","",IFERROR(INDEX(Summary!$B$2:$B$14,MATCH(C999,Summary!$A$2:$A$14,0)),"?"))</f>
        <v/>
      </c>
      <c r="E999" s="11" t="str">
        <f aca="false">IF(C999="","",IFERROR(INDEX(Summary!$C$2:$C$14,MATCH(C999,Summary!$A$2:$A$14,0)),"?"))</f>
        <v/>
      </c>
      <c r="F999" s="12"/>
      <c r="H999" s="0" t="str">
        <f aca="false">IF(OR(B999="",F999=""),"",F999-ROW()/100000)</f>
        <v/>
      </c>
      <c r="I999" s="0" t="str">
        <f aca="false">IF(H999="","",C999&amp;"|"&amp;(COUNTIFS($C$2:$C$1000,C999,$H$2:$H$1000,"&gt;"&amp;H999)+1))</f>
        <v/>
      </c>
    </row>
    <row r="1000" customFormat="false" ht="15" hidden="false" customHeight="false" outlineLevel="0" collapsed="false">
      <c r="A1000" s="8" t="str">
        <f aca="false">IF(F1000="","",COUNTIF($F$2:$F$1000,"&gt;"&amp;F1000)+1)</f>
        <v/>
      </c>
      <c r="B1000" s="9"/>
      <c r="C1000" s="10"/>
      <c r="D1000" s="11" t="str">
        <f aca="false">IF(C1000="","",IFERROR(INDEX(Summary!$B$2:$B$14,MATCH(C1000,Summary!$A$2:$A$14,0)),"?"))</f>
        <v/>
      </c>
      <c r="E1000" s="11" t="str">
        <f aca="false">IF(C1000="","",IFERROR(INDEX(Summary!$C$2:$C$14,MATCH(C1000,Summary!$A$2:$A$14,0)),"?"))</f>
        <v/>
      </c>
      <c r="F1000" s="12"/>
      <c r="H1000" s="0" t="str">
        <f aca="false">IF(OR(B1000="",F1000=""),"",F1000-ROW()/100000)</f>
        <v/>
      </c>
      <c r="I1000" s="0" t="str">
        <f aca="false">IF(H1000="","",C1000&amp;"|"&amp;(COUNTIFS($C$2:$C$1000,C1000,$H$2:$H$1000,"&gt;"&amp;H1000)+1))</f>
        <v/>
      </c>
    </row>
  </sheetData>
  <autoFilter ref="A1:F419"/>
  <conditionalFormatting sqref="E2:E1000">
    <cfRule type="expression" priority="2" aboveAverage="0" equalAverage="0" bottom="0" percent="0" rank="0" text="" dxfId="8">
      <formula>$E2="Portieri"</formula>
    </cfRule>
    <cfRule type="expression" priority="3" aboveAverage="0" equalAverage="0" bottom="0" percent="0" rank="0" text="" dxfId="9">
      <formula>$E2="Difensori"</formula>
    </cfRule>
    <cfRule type="expression" priority="4" aboveAverage="0" equalAverage="0" bottom="0" percent="0" rank="0" text="" dxfId="10">
      <formula>$E2="Centrocampo"</formula>
    </cfRule>
    <cfRule type="expression" priority="5" aboveAverage="0" equalAverage="0" bottom="0" percent="0" rank="0" text="" dxfId="11">
      <formula>$E2="Attacco"</formula>
    </cfRule>
  </conditionalFormatting>
  <dataValidations count="1">
    <dataValidation allowBlank="true" error="Pick a role from the list (see Summary)." errorStyle="stop" errorTitle="Role" operator="between" showDropDown="false" showErrorMessage="true" showInputMessage="false" sqref="C2:C1000" type="list">
      <formula1>Summary!$A$2:$A$14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438</v>
      </c>
      <c r="E1" s="1" t="s">
        <v>439</v>
      </c>
      <c r="F1" s="1" t="s">
        <v>440</v>
      </c>
      <c r="G1" s="1" t="s">
        <v>441</v>
      </c>
    </row>
    <row r="2" customFormat="false" ht="15" hidden="false" customHeight="false" outlineLevel="0" collapsed="false">
      <c r="A2" s="5" t="s">
        <v>9</v>
      </c>
      <c r="B2" s="5" t="s">
        <v>442</v>
      </c>
      <c r="C2" s="13" t="s">
        <v>443</v>
      </c>
      <c r="D2" s="2" t="n">
        <f aca="false">COUNTIF(Overall!$C$2:$C$1000,A2)</f>
        <v>36</v>
      </c>
      <c r="E2" s="2" t="n">
        <f aca="false">IF(D2=0,"",MAX(GK!$C$2:$C$151))</f>
        <v>109</v>
      </c>
      <c r="F2" s="14" t="n">
        <f aca="false">IF(D2=0,"",AVERAGE(GK!$C$2:$C$151))</f>
        <v>85.4166666666667</v>
      </c>
      <c r="G2" s="2" t="n">
        <f aca="false">IF(D2=0,"",MIN(GK!$C$2:$C$151))</f>
        <v>40</v>
      </c>
    </row>
    <row r="3" customFormat="false" ht="15" hidden="false" customHeight="false" outlineLevel="0" collapsed="false">
      <c r="A3" s="5" t="s">
        <v>38</v>
      </c>
      <c r="B3" s="5" t="s">
        <v>444</v>
      </c>
      <c r="C3" s="15" t="s">
        <v>445</v>
      </c>
      <c r="D3" s="2" t="n">
        <f aca="false">COUNTIF(Overall!$C$2:$C$1000,A3)</f>
        <v>73</v>
      </c>
      <c r="E3" s="2" t="n">
        <f aca="false">IF(D3=0,"",MAX(CB!$C$2:$C$151))</f>
        <v>100</v>
      </c>
      <c r="F3" s="14" t="n">
        <f aca="false">IF(D3=0,"",AVERAGE(CB!$C$2:$C$151))</f>
        <v>84.2602739726028</v>
      </c>
      <c r="G3" s="2" t="n">
        <f aca="false">IF(D3=0,"",MIN(CB!$C$2:$C$151))</f>
        <v>76</v>
      </c>
    </row>
    <row r="4" customFormat="false" ht="15" hidden="false" customHeight="false" outlineLevel="0" collapsed="false">
      <c r="A4" s="5" t="s">
        <v>23</v>
      </c>
      <c r="B4" s="5" t="s">
        <v>446</v>
      </c>
      <c r="C4" s="15" t="s">
        <v>445</v>
      </c>
      <c r="D4" s="2" t="n">
        <f aca="false">COUNTIF(Overall!$C$2:$C$1000,A4)</f>
        <v>22</v>
      </c>
      <c r="E4" s="2" t="n">
        <f aca="false">IF(D4=0,"",MAX(LB!$C$2:$C$151))</f>
        <v>108</v>
      </c>
      <c r="F4" s="14" t="n">
        <f aca="false">IF(D4=0,"",AVERAGE(LB!$C$2:$C$151))</f>
        <v>84.6818181818182</v>
      </c>
      <c r="G4" s="2" t="n">
        <f aca="false">IF(D4=0,"",MIN(LB!$C$2:$C$151))</f>
        <v>76</v>
      </c>
    </row>
    <row r="5" customFormat="false" ht="15" hidden="false" customHeight="false" outlineLevel="0" collapsed="false">
      <c r="A5" s="5" t="s">
        <v>61</v>
      </c>
      <c r="B5" s="5" t="s">
        <v>447</v>
      </c>
      <c r="C5" s="15" t="s">
        <v>445</v>
      </c>
      <c r="D5" s="2" t="n">
        <f aca="false">COUNTIF(Overall!$C$2:$C$1000,A5)</f>
        <v>32</v>
      </c>
      <c r="E5" s="2" t="n">
        <f aca="false">IF(D5=0,"",MAX(RB!$C$2:$C$151))</f>
        <v>96</v>
      </c>
      <c r="F5" s="14" t="n">
        <f aca="false">IF(D5=0,"",AVERAGE(RB!$C$2:$C$151))</f>
        <v>83.1875</v>
      </c>
      <c r="G5" s="2" t="n">
        <f aca="false">IF(D5=0,"",MIN(RB!$C$2:$C$151))</f>
        <v>73</v>
      </c>
    </row>
    <row r="6" customFormat="false" ht="15" hidden="false" customHeight="false" outlineLevel="0" collapsed="false">
      <c r="A6" s="5" t="s">
        <v>51</v>
      </c>
      <c r="B6" s="5" t="s">
        <v>448</v>
      </c>
      <c r="C6" s="16" t="s">
        <v>449</v>
      </c>
      <c r="D6" s="2" t="n">
        <f aca="false">COUNTIF(Overall!$C$2:$C$1000,A6)</f>
        <v>38</v>
      </c>
      <c r="E6" s="2" t="n">
        <f aca="false">IF(D6=0,"",MAX(DMF!$C$2:$C$151))</f>
        <v>98</v>
      </c>
      <c r="F6" s="14" t="n">
        <f aca="false">IF(D6=0,"",AVERAGE(DMF!$C$2:$C$151))</f>
        <v>85.0263157894737</v>
      </c>
      <c r="G6" s="2" t="n">
        <f aca="false">IF(D6=0,"",MIN(DMF!$C$2:$C$151))</f>
        <v>73</v>
      </c>
    </row>
    <row r="7" customFormat="false" ht="15" hidden="false" customHeight="false" outlineLevel="0" collapsed="false">
      <c r="A7" s="5" t="s">
        <v>11</v>
      </c>
      <c r="B7" s="5" t="s">
        <v>450</v>
      </c>
      <c r="C7" s="16" t="s">
        <v>449</v>
      </c>
      <c r="D7" s="2" t="n">
        <f aca="false">COUNTIF(Overall!$C$2:$C$1000,A7)</f>
        <v>38</v>
      </c>
      <c r="E7" s="2" t="n">
        <f aca="false">IF(D7=0,"",MAX(CMF!$C$2:$C$151))</f>
        <v>109</v>
      </c>
      <c r="F7" s="14" t="n">
        <f aca="false">IF(D7=0,"",AVERAGE(CMF!$C$2:$C$151))</f>
        <v>85.6578947368421</v>
      </c>
      <c r="G7" s="2" t="n">
        <f aca="false">IF(D7=0,"",MIN(CMF!$C$2:$C$151))</f>
        <v>72</v>
      </c>
    </row>
    <row r="8" customFormat="false" ht="15" hidden="false" customHeight="false" outlineLevel="0" collapsed="false">
      <c r="A8" s="5" t="s">
        <v>42</v>
      </c>
      <c r="B8" s="5" t="s">
        <v>451</v>
      </c>
      <c r="C8" s="16" t="s">
        <v>449</v>
      </c>
      <c r="D8" s="2" t="n">
        <f aca="false">COUNTIF(Overall!$C$2:$C$1000,A8)</f>
        <v>28</v>
      </c>
      <c r="E8" s="2" t="n">
        <f aca="false">IF(D8=0,"",MAX(LMF!$C$2:$C$151))</f>
        <v>99</v>
      </c>
      <c r="F8" s="14" t="n">
        <f aca="false">IF(D8=0,"",AVERAGE(LMF!$C$2:$C$151))</f>
        <v>84.7142857142857</v>
      </c>
      <c r="G8" s="2" t="n">
        <f aca="false">IF(D8=0,"",MIN(LMF!$C$2:$C$151))</f>
        <v>76</v>
      </c>
    </row>
    <row r="9" customFormat="false" ht="15" hidden="false" customHeight="false" outlineLevel="0" collapsed="false">
      <c r="A9" s="5" t="s">
        <v>28</v>
      </c>
      <c r="B9" s="5" t="s">
        <v>452</v>
      </c>
      <c r="C9" s="16" t="s">
        <v>449</v>
      </c>
      <c r="D9" s="2" t="n">
        <f aca="false">COUNTIF(Overall!$C$2:$C$1000,A9)</f>
        <v>25</v>
      </c>
      <c r="E9" s="2" t="n">
        <f aca="false">IF(D9=0,"",MAX(RMF!$C$2:$C$151))</f>
        <v>106</v>
      </c>
      <c r="F9" s="14" t="n">
        <f aca="false">IF(D9=0,"",AVERAGE(RMF!$C$2:$C$151))</f>
        <v>85.92</v>
      </c>
      <c r="G9" s="2" t="n">
        <f aca="false">IF(D9=0,"",MIN(RMF!$C$2:$C$151))</f>
        <v>79</v>
      </c>
    </row>
    <row r="10" customFormat="false" ht="15" hidden="false" customHeight="false" outlineLevel="0" collapsed="false">
      <c r="A10" s="5" t="s">
        <v>31</v>
      </c>
      <c r="B10" s="5" t="s">
        <v>453</v>
      </c>
      <c r="C10" s="16" t="s">
        <v>449</v>
      </c>
      <c r="D10" s="2" t="n">
        <f aca="false">COUNTIF(Overall!$C$2:$C$1000,A10)</f>
        <v>28</v>
      </c>
      <c r="E10" s="2" t="n">
        <f aca="false">IF(D10=0,"",MAX(AMF!$C$2:$C$151))</f>
        <v>103</v>
      </c>
      <c r="F10" s="14" t="n">
        <f aca="false">IF(D10=0,"",AVERAGE(AMF!$C$2:$C$151))</f>
        <v>86.2857142857143</v>
      </c>
      <c r="G10" s="2" t="n">
        <f aca="false">IF(D10=0,"",MIN(AMF!$C$2:$C$151))</f>
        <v>77</v>
      </c>
    </row>
    <row r="11" customFormat="false" ht="15" hidden="false" customHeight="false" outlineLevel="0" collapsed="false">
      <c r="A11" s="5" t="s">
        <v>15</v>
      </c>
      <c r="B11" s="5" t="s">
        <v>454</v>
      </c>
      <c r="C11" s="17" t="s">
        <v>455</v>
      </c>
      <c r="D11" s="2" t="n">
        <f aca="false">COUNTIF(Overall!$C$2:$C$1000,A11)</f>
        <v>11</v>
      </c>
      <c r="E11" s="2" t="n">
        <f aca="false">IF(D11=0,"",MAX(LWF!$C$2:$C$151))</f>
        <v>109</v>
      </c>
      <c r="F11" s="14" t="n">
        <f aca="false">IF(D11=0,"",AVERAGE(LWF!$C$2:$C$151))</f>
        <v>88.3636363636364</v>
      </c>
      <c r="G11" s="2" t="n">
        <f aca="false">IF(D11=0,"",MIN(LWF!$C$2:$C$151))</f>
        <v>77</v>
      </c>
    </row>
    <row r="12" customFormat="false" ht="15" hidden="false" customHeight="false" outlineLevel="0" collapsed="false">
      <c r="A12" s="5" t="s">
        <v>17</v>
      </c>
      <c r="B12" s="5" t="s">
        <v>456</v>
      </c>
      <c r="C12" s="17" t="s">
        <v>455</v>
      </c>
      <c r="D12" s="2" t="n">
        <f aca="false">COUNTIF(Overall!$C$2:$C$1000,A12)</f>
        <v>8</v>
      </c>
      <c r="E12" s="2" t="n">
        <f aca="false">IF(D12=0,"",MAX(RWF!$C$2:$C$151))</f>
        <v>109</v>
      </c>
      <c r="F12" s="14" t="n">
        <f aca="false">IF(D12=0,"",AVERAGE(RWF!$C$2:$C$151))</f>
        <v>85.375</v>
      </c>
      <c r="G12" s="2" t="n">
        <f aca="false">IF(D12=0,"",MIN(RWF!$C$2:$C$151))</f>
        <v>77</v>
      </c>
    </row>
    <row r="13" customFormat="false" ht="15" hidden="false" customHeight="false" outlineLevel="0" collapsed="false">
      <c r="A13" s="5" t="s">
        <v>19</v>
      </c>
      <c r="B13" s="5" t="s">
        <v>457</v>
      </c>
      <c r="C13" s="17" t="s">
        <v>455</v>
      </c>
      <c r="D13" s="2" t="n">
        <f aca="false">COUNTIF(Overall!$C$2:$C$1000,A13)</f>
        <v>18</v>
      </c>
      <c r="E13" s="2" t="n">
        <f aca="false">IF(D13=0,"",MAX(SS!$C$2:$C$151))</f>
        <v>109</v>
      </c>
      <c r="F13" s="14" t="n">
        <f aca="false">IF(D13=0,"",AVERAGE(SS!$C$2:$C$151))</f>
        <v>86.2222222222222</v>
      </c>
      <c r="G13" s="2" t="n">
        <f aca="false">IF(D13=0,"",MIN(SS!$C$2:$C$151))</f>
        <v>74</v>
      </c>
    </row>
    <row r="14" customFormat="false" ht="15" hidden="false" customHeight="false" outlineLevel="0" collapsed="false">
      <c r="A14" s="5" t="s">
        <v>21</v>
      </c>
      <c r="B14" s="5" t="s">
        <v>458</v>
      </c>
      <c r="C14" s="17" t="s">
        <v>455</v>
      </c>
      <c r="D14" s="2" t="n">
        <f aca="false">COUNTIF(Overall!$C$2:$C$1000,A14)</f>
        <v>61</v>
      </c>
      <c r="E14" s="2" t="n">
        <f aca="false">IF(D14=0,"",MAX(CF!$C$2:$C$151))</f>
        <v>109</v>
      </c>
      <c r="F14" s="14" t="n">
        <f aca="false">IF(D14=0,"",AVERAGE(CF!$C$2:$C$151))</f>
        <v>88.9016393442623</v>
      </c>
      <c r="G14" s="2" t="n">
        <f aca="false">IF(D14=0,"",MIN(CF!$C$2:$C$151))</f>
        <v>74</v>
      </c>
    </row>
    <row r="15" customFormat="false" ht="15" hidden="false" customHeight="false" outlineLevel="0" collapsed="false">
      <c r="A15" s="18" t="s">
        <v>459</v>
      </c>
      <c r="B15" s="18"/>
      <c r="C15" s="18"/>
      <c r="D15" s="19" t="n">
        <f aca="false">SUM(D2:D14)</f>
        <v>418</v>
      </c>
      <c r="E15" s="18"/>
      <c r="F15" s="18"/>
      <c r="G15" s="18"/>
    </row>
    <row r="17" customFormat="false" ht="15" hidden="false" customHeight="false" outlineLevel="0" collapsed="false">
      <c r="A17" s="20" t="s">
        <v>460</v>
      </c>
    </row>
    <row r="18" customFormat="false" ht="15" hidden="false" customHeight="false" outlineLevel="0" collapsed="false">
      <c r="A18" s="21" t="s">
        <v>461</v>
      </c>
    </row>
    <row r="19" customFormat="false" ht="15" hidden="false" customHeight="false" outlineLevel="0" collapsed="false">
      <c r="A19" s="21" t="s">
        <v>462</v>
      </c>
    </row>
    <row r="20" customFormat="false" ht="15" hidden="false" customHeight="false" outlineLevel="0" collapsed="false">
      <c r="A20" s="21" t="s">
        <v>463</v>
      </c>
    </row>
    <row r="21" customFormat="false" ht="15" hidden="false" customHeight="false" outlineLevel="0" collapsed="false">
      <c r="A21" s="21" t="s">
        <v>464</v>
      </c>
    </row>
    <row r="22" customFormat="false" ht="15" hidden="false" customHeight="false" outlineLevel="0" collapsed="false">
      <c r="A22" s="21" t="s">
        <v>465</v>
      </c>
    </row>
    <row r="23" customFormat="false" ht="15" hidden="false" customHeight="false" outlineLevel="0" collapsed="false">
      <c r="A23" s="21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E6C9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IF(B2="","",COUNTIFS(Overall!$C$2:$C$1000,"GK",Overall!$F$2:$F$1000,"&gt;"&amp;C2)+1)</f>
        <v>1</v>
      </c>
      <c r="B2" s="11" t="str">
        <f aca="false">IFERROR(INDEX(Overall!$B$2:$B$1000,MATCH("GK|1",Overall!$I$2:$I$1000,0)),"")</f>
        <v>Porunga</v>
      </c>
      <c r="C2" s="19" t="n">
        <f aca="false">IFERROR(INDEX(Overall!$F$2:$F$1000,MATCH("GK|1",Overall!$I$2:$I$1000,0)),"")</f>
        <v>109</v>
      </c>
    </row>
    <row r="3" customFormat="false" ht="15" hidden="false" customHeight="false" outlineLevel="0" collapsed="false">
      <c r="A3" s="22" t="n">
        <f aca="false">IF(B3="","",COUNTIFS(Overall!$C$2:$C$1000,"GK",Overall!$F$2:$F$1000,"&gt;"&amp;C3)+1)</f>
        <v>2</v>
      </c>
      <c r="B3" s="11" t="str">
        <f aca="false">IFERROR(INDEX(Overall!$B$2:$B$1000,MATCH("GK|2",Overall!$I$2:$I$1000,0)),"")</f>
        <v>Shenron</v>
      </c>
      <c r="C3" s="19" t="n">
        <f aca="false">IFERROR(INDEX(Overall!$F$2:$F$1000,MATCH("GK|2",Overall!$I$2:$I$1000,0)),"")</f>
        <v>104</v>
      </c>
    </row>
    <row r="4" customFormat="false" ht="15" hidden="false" customHeight="false" outlineLevel="0" collapsed="false">
      <c r="A4" s="22" t="n">
        <f aca="false">IF(B4="","",COUNTIFS(Overall!$C$2:$C$1000,"GK",Overall!$F$2:$F$1000,"&gt;"&amp;C4)+1)</f>
        <v>3</v>
      </c>
      <c r="B4" s="11" t="str">
        <f aca="false">IFERROR(INDEX(Overall!$B$2:$B$1000,MATCH("GK|3",Overall!$I$2:$I$1000,0)),"")</f>
        <v>Broly</v>
      </c>
      <c r="C4" s="19" t="n">
        <f aca="false">IFERROR(INDEX(Overall!$F$2:$F$1000,MATCH("GK|3",Overall!$I$2:$I$1000,0)),"")</f>
        <v>101</v>
      </c>
    </row>
    <row r="5" customFormat="false" ht="15" hidden="false" customHeight="false" outlineLevel="0" collapsed="false">
      <c r="A5" s="22" t="n">
        <f aca="false">IF(B5="","",COUNTIFS(Overall!$C$2:$C$1000,"GK",Overall!$F$2:$F$1000,"&gt;"&amp;C5)+1)</f>
        <v>4</v>
      </c>
      <c r="B5" s="11" t="str">
        <f aca="false">IFERROR(INDEX(Overall!$B$2:$B$1000,MATCH("GK|4",Overall!$I$2:$I$1000,0)),"")</f>
        <v>Hulk</v>
      </c>
      <c r="C5" s="19" t="n">
        <f aca="false">IFERROR(INDEX(Overall!$F$2:$F$1000,MATCH("GK|4",Overall!$I$2:$I$1000,0)),"")</f>
        <v>100</v>
      </c>
    </row>
    <row r="6" customFormat="false" ht="15" hidden="false" customHeight="false" outlineLevel="0" collapsed="false">
      <c r="A6" s="22" t="n">
        <f aca="false">IF(B6="","",COUNTIFS(Overall!$C$2:$C$1000,"GK",Overall!$F$2:$F$1000,"&gt;"&amp;C6)+1)</f>
        <v>5</v>
      </c>
      <c r="B6" s="11" t="str">
        <f aca="false">IFERROR(INDEX(Overall!$B$2:$B$1000,MATCH("GK|5",Overall!$I$2:$I$1000,0)),"")</f>
        <v>Toppo</v>
      </c>
      <c r="C6" s="19" t="n">
        <f aca="false">IFERROR(INDEX(Overall!$F$2:$F$1000,MATCH("GK|5",Overall!$I$2:$I$1000,0)),"")</f>
        <v>98</v>
      </c>
    </row>
    <row r="7" customFormat="false" ht="15" hidden="false" customHeight="false" outlineLevel="0" collapsed="false">
      <c r="A7" s="22" t="n">
        <f aca="false">IF(B7="","",COUNTIFS(Overall!$C$2:$C$1000,"GK",Overall!$F$2:$F$1000,"&gt;"&amp;C7)+1)</f>
        <v>6</v>
      </c>
      <c r="B7" s="11" t="str">
        <f aca="false">IFERROR(INDEX(Overall!$B$2:$B$1000,MATCH("GK|6",Overall!$I$2:$I$1000,0)),"")</f>
        <v>Dracula</v>
      </c>
      <c r="C7" s="19" t="n">
        <f aca="false">IFERROR(INDEX(Overall!$F$2:$F$1000,MATCH("GK|6",Overall!$I$2:$I$1000,0)),"")</f>
        <v>94</v>
      </c>
    </row>
    <row r="8" customFormat="false" ht="15" hidden="false" customHeight="false" outlineLevel="0" collapsed="false">
      <c r="A8" s="22" t="n">
        <f aca="false">IF(B8="","",COUNTIFS(Overall!$C$2:$C$1000,"GK",Overall!$F$2:$F$1000,"&gt;"&amp;C8)+1)</f>
        <v>7</v>
      </c>
      <c r="B8" s="11" t="str">
        <f aca="false">IFERROR(INDEX(Overall!$B$2:$B$1000,MATCH("GK|7",Overall!$I$2:$I$1000,0)),"")</f>
        <v>Wakabayashi</v>
      </c>
      <c r="C8" s="19" t="n">
        <f aca="false">IFERROR(INDEX(Overall!$F$2:$F$1000,MATCH("GK|7",Overall!$I$2:$I$1000,0)),"")</f>
        <v>92</v>
      </c>
    </row>
    <row r="9" customFormat="false" ht="15" hidden="false" customHeight="false" outlineLevel="0" collapsed="false">
      <c r="A9" s="22" t="n">
        <f aca="false">IF(B9="","",COUNTIFS(Overall!$C$2:$C$1000,"GK",Overall!$F$2:$F$1000,"&gt;"&amp;C9)+1)</f>
        <v>8</v>
      </c>
      <c r="B9" s="11" t="str">
        <f aca="false">IFERROR(INDEX(Overall!$B$2:$B$1000,MATCH("GK|8",Overall!$I$2:$I$1000,0)),"")</f>
        <v>Ectoplasm</v>
      </c>
      <c r="C9" s="19" t="n">
        <f aca="false">IFERROR(INDEX(Overall!$F$2:$F$1000,MATCH("GK|8",Overall!$I$2:$I$1000,0)),"")</f>
        <v>90</v>
      </c>
    </row>
    <row r="10" customFormat="false" ht="15" hidden="false" customHeight="false" outlineLevel="0" collapsed="false">
      <c r="A10" s="22" t="n">
        <f aca="false">IF(B10="","",COUNTIFS(Overall!$C$2:$C$1000,"GK",Overall!$F$2:$F$1000,"&gt;"&amp;C10)+1)</f>
        <v>8</v>
      </c>
      <c r="B10" s="11" t="str">
        <f aca="false">IFERROR(INDEX(Overall!$B$2:$B$1000,MATCH("GK|9",Overall!$I$2:$I$1000,0)),"")</f>
        <v>Mark Evans</v>
      </c>
      <c r="C10" s="19" t="n">
        <f aca="false">IFERROR(INDEX(Overall!$F$2:$F$1000,MATCH("GK|9",Overall!$I$2:$I$1000,0)),"")</f>
        <v>90</v>
      </c>
    </row>
    <row r="11" customFormat="false" ht="15" hidden="false" customHeight="false" outlineLevel="0" collapsed="false">
      <c r="A11" s="22" t="n">
        <f aca="false">IF(B11="","",COUNTIFS(Overall!$C$2:$C$1000,"GK",Overall!$F$2:$F$1000,"&gt;"&amp;C11)+1)</f>
        <v>8</v>
      </c>
      <c r="B11" s="11" t="str">
        <f aca="false">IFERROR(INDEX(Overall!$B$2:$B$1000,MATCH("GK|10",Overall!$I$2:$I$1000,0)),"")</f>
        <v>Andrea Discepolo</v>
      </c>
      <c r="C11" s="19" t="n">
        <f aca="false">IFERROR(INDEX(Overall!$F$2:$F$1000,MATCH("GK|10",Overall!$I$2:$I$1000,0)),"")</f>
        <v>90</v>
      </c>
    </row>
    <row r="12" customFormat="false" ht="15" hidden="false" customHeight="false" outlineLevel="0" collapsed="false">
      <c r="A12" s="22" t="n">
        <f aca="false">IF(B12="","",COUNTIFS(Overall!$C$2:$C$1000,"GK",Overall!$F$2:$F$1000,"&gt;"&amp;C12)+1)</f>
        <v>11</v>
      </c>
      <c r="B12" s="11" t="str">
        <f aca="false">IFERROR(INDEX(Overall!$B$2:$B$1000,MATCH("GK|11",Overall!$I$2:$I$1000,0)),"")</f>
        <v>Shaq</v>
      </c>
      <c r="C12" s="19" t="n">
        <f aca="false">IFERROR(INDEX(Overall!$F$2:$F$1000,MATCH("GK|11",Overall!$I$2:$I$1000,0)),"")</f>
        <v>89</v>
      </c>
    </row>
    <row r="13" customFormat="false" ht="15" hidden="false" customHeight="false" outlineLevel="0" collapsed="false">
      <c r="A13" s="22" t="n">
        <f aca="false">IF(B13="","",COUNTIFS(Overall!$C$2:$C$1000,"GK",Overall!$F$2:$F$1000,"&gt;"&amp;C13)+1)</f>
        <v>11</v>
      </c>
      <c r="B13" s="11" t="str">
        <f aca="false">IFERROR(INDEX(Overall!$B$2:$B$1000,MATCH("GK|12",Overall!$I$2:$I$1000,0)),"")</f>
        <v>Masella</v>
      </c>
      <c r="C13" s="19" t="n">
        <f aca="false">IFERROR(INDEX(Overall!$F$2:$F$1000,MATCH("GK|12",Overall!$I$2:$I$1000,0)),"")</f>
        <v>89</v>
      </c>
    </row>
    <row r="14" customFormat="false" ht="15" hidden="false" customHeight="false" outlineLevel="0" collapsed="false">
      <c r="A14" s="22" t="n">
        <f aca="false">IF(B14="","",COUNTIFS(Overall!$C$2:$C$1000,"GK",Overall!$F$2:$F$1000,"&gt;"&amp;C14)+1)</f>
        <v>13</v>
      </c>
      <c r="B14" s="11" t="str">
        <f aca="false">IFERROR(INDEX(Overall!$B$2:$B$1000,MATCH("GK|13",Overall!$I$2:$I$1000,0)),"")</f>
        <v>Usopp</v>
      </c>
      <c r="C14" s="19" t="n">
        <f aca="false">IFERROR(INDEX(Overall!$F$2:$F$1000,MATCH("GK|13",Overall!$I$2:$I$1000,0)),"")</f>
        <v>88</v>
      </c>
    </row>
    <row r="15" customFormat="false" ht="15" hidden="false" customHeight="false" outlineLevel="0" collapsed="false">
      <c r="A15" s="22" t="n">
        <f aca="false">IF(B15="","",COUNTIFS(Overall!$C$2:$C$1000,"GK",Overall!$F$2:$F$1000,"&gt;"&amp;C15)+1)</f>
        <v>14</v>
      </c>
      <c r="B15" s="11" t="str">
        <f aca="false">IFERROR(INDEX(Overall!$B$2:$B$1000,MATCH("GK|14",Overall!$I$2:$I$1000,0)),"")</f>
        <v>Jonathan Joestar</v>
      </c>
      <c r="C15" s="19" t="n">
        <f aca="false">IFERROR(INDEX(Overall!$F$2:$F$1000,MATCH("GK|14",Overall!$I$2:$I$1000,0)),"")</f>
        <v>86</v>
      </c>
    </row>
    <row r="16" customFormat="false" ht="15" hidden="false" customHeight="false" outlineLevel="0" collapsed="false">
      <c r="A16" s="22" t="n">
        <f aca="false">IF(B16="","",COUNTIFS(Overall!$C$2:$C$1000,"GK",Overall!$F$2:$F$1000,"&gt;"&amp;C16)+1)</f>
        <v>14</v>
      </c>
      <c r="B16" s="11" t="str">
        <f aca="false">IFERROR(INDEX(Overall!$B$2:$B$1000,MATCH("GK|15",Overall!$I$2:$I$1000,0)),"")</f>
        <v>Maldonado</v>
      </c>
      <c r="C16" s="19" t="n">
        <f aca="false">IFERROR(INDEX(Overall!$F$2:$F$1000,MATCH("GK|15",Overall!$I$2:$I$1000,0)),"")</f>
        <v>86</v>
      </c>
    </row>
    <row r="17" customFormat="false" ht="15" hidden="false" customHeight="false" outlineLevel="0" collapsed="false">
      <c r="A17" s="22" t="n">
        <f aca="false">IF(B17="","",COUNTIFS(Overall!$C$2:$C$1000,"GK",Overall!$F$2:$F$1000,"&gt;"&amp;C17)+1)</f>
        <v>16</v>
      </c>
      <c r="B17" s="11" t="str">
        <f aca="false">IFERROR(INDEX(Overall!$B$2:$B$1000,MATCH("GK|16",Overall!$I$2:$I$1000,0)),"")</f>
        <v>Pete</v>
      </c>
      <c r="C17" s="19" t="n">
        <f aca="false">IFERROR(INDEX(Overall!$F$2:$F$1000,MATCH("GK|16",Overall!$I$2:$I$1000,0)),"")</f>
        <v>85</v>
      </c>
    </row>
    <row r="18" customFormat="false" ht="15" hidden="false" customHeight="false" outlineLevel="0" collapsed="false">
      <c r="A18" s="22" t="n">
        <f aca="false">IF(B18="","",COUNTIFS(Overall!$C$2:$C$1000,"GK",Overall!$F$2:$F$1000,"&gt;"&amp;C18)+1)</f>
        <v>16</v>
      </c>
      <c r="B18" s="11" t="str">
        <f aca="false">IFERROR(INDEX(Overall!$B$2:$B$1000,MATCH("GK|17",Overall!$I$2:$I$1000,0)),"")</f>
        <v>Franky</v>
      </c>
      <c r="C18" s="19" t="n">
        <f aca="false">IFERROR(INDEX(Overall!$F$2:$F$1000,MATCH("GK|17",Overall!$I$2:$I$1000,0)),"")</f>
        <v>85</v>
      </c>
    </row>
    <row r="19" customFormat="false" ht="15" hidden="false" customHeight="false" outlineLevel="0" collapsed="false">
      <c r="A19" s="22" t="n">
        <f aca="false">IF(B19="","",COUNTIFS(Overall!$C$2:$C$1000,"GK",Overall!$F$2:$F$1000,"&gt;"&amp;C19)+1)</f>
        <v>16</v>
      </c>
      <c r="B19" s="11" t="str">
        <f aca="false">IFERROR(INDEX(Overall!$B$2:$B$1000,MATCH("GK|18",Overall!$I$2:$I$1000,0)),"")</f>
        <v>Spike Spiegel</v>
      </c>
      <c r="C19" s="19" t="n">
        <f aca="false">IFERROR(INDEX(Overall!$F$2:$F$1000,MATCH("GK|18",Overall!$I$2:$I$1000,0)),"")</f>
        <v>85</v>
      </c>
    </row>
    <row r="20" customFormat="false" ht="15" hidden="false" customHeight="false" outlineLevel="0" collapsed="false">
      <c r="A20" s="22" t="n">
        <f aca="false">IF(B20="","",COUNTIFS(Overall!$C$2:$C$1000,"GK",Overall!$F$2:$F$1000,"&gt;"&amp;C20)+1)</f>
        <v>16</v>
      </c>
      <c r="B20" s="11" t="str">
        <f aca="false">IFERROR(INDEX(Overall!$B$2:$B$1000,MATCH("GK|19",Overall!$I$2:$I$1000,0)),"")</f>
        <v>C-3P0</v>
      </c>
      <c r="C20" s="19" t="n">
        <f aca="false">IFERROR(INDEX(Overall!$F$2:$F$1000,MATCH("GK|19",Overall!$I$2:$I$1000,0)),"")</f>
        <v>85</v>
      </c>
    </row>
    <row r="21" customFormat="false" ht="15" hidden="false" customHeight="false" outlineLevel="0" collapsed="false">
      <c r="A21" s="22" t="n">
        <f aca="false">IF(B21="","",COUNTIFS(Overall!$C$2:$C$1000,"GK",Overall!$F$2:$F$1000,"&gt;"&amp;C21)+1)</f>
        <v>16</v>
      </c>
      <c r="B21" s="11" t="str">
        <f aca="false">IFERROR(INDEX(Overall!$B$2:$B$1000,MATCH("GK|20",Overall!$I$2:$I$1000,0)),"")</f>
        <v>The Grinch</v>
      </c>
      <c r="C21" s="19" t="n">
        <f aca="false">IFERROR(INDEX(Overall!$F$2:$F$1000,MATCH("GK|20",Overall!$I$2:$I$1000,0)),"")</f>
        <v>85</v>
      </c>
    </row>
    <row r="22" customFormat="false" ht="15" hidden="false" customHeight="false" outlineLevel="0" collapsed="false">
      <c r="A22" s="22" t="n">
        <f aca="false">IF(B22="","",COUNTIFS(Overall!$C$2:$C$1000,"GK",Overall!$F$2:$F$1000,"&gt;"&amp;C22)+1)</f>
        <v>21</v>
      </c>
      <c r="B22" s="11" t="str">
        <f aca="false">IFERROR(INDEX(Overall!$B$2:$B$1000,MATCH("GK|21",Overall!$I$2:$I$1000,0)),"")</f>
        <v>King Cold</v>
      </c>
      <c r="C22" s="19" t="n">
        <f aca="false">IFERROR(INDEX(Overall!$F$2:$F$1000,MATCH("GK|21",Overall!$I$2:$I$1000,0)),"")</f>
        <v>83</v>
      </c>
    </row>
    <row r="23" customFormat="false" ht="15" hidden="false" customHeight="false" outlineLevel="0" collapsed="false">
      <c r="A23" s="22" t="n">
        <f aca="false">IF(B23="","",COUNTIFS(Overall!$C$2:$C$1000,"GK",Overall!$F$2:$F$1000,"&gt;"&amp;C23)+1)</f>
        <v>21</v>
      </c>
      <c r="B23" s="11" t="str">
        <f aca="false">IFERROR(INDEX(Overall!$B$2:$B$1000,MATCH("GK|22",Overall!$I$2:$I$1000,0)),"")</f>
        <v>Doomsday</v>
      </c>
      <c r="C23" s="19" t="n">
        <f aca="false">IFERROR(INDEX(Overall!$F$2:$F$1000,MATCH("GK|22",Overall!$I$2:$I$1000,0)),"")</f>
        <v>83</v>
      </c>
    </row>
    <row r="24" customFormat="false" ht="15" hidden="false" customHeight="false" outlineLevel="0" collapsed="false">
      <c r="A24" s="22" t="n">
        <f aca="false">IF(B24="","",COUNTIFS(Overall!$C$2:$C$1000,"GK",Overall!$F$2:$F$1000,"&gt;"&amp;C24)+1)</f>
        <v>21</v>
      </c>
      <c r="B24" s="11" t="str">
        <f aca="false">IFERROR(INDEX(Overall!$B$2:$B$1000,MATCH("GK|23",Overall!$I$2:$I$1000,0)),"")</f>
        <v>Foghorn Leghorn</v>
      </c>
      <c r="C24" s="19" t="n">
        <f aca="false">IFERROR(INDEX(Overall!$F$2:$F$1000,MATCH("GK|23",Overall!$I$2:$I$1000,0)),"")</f>
        <v>83</v>
      </c>
    </row>
    <row r="25" customFormat="false" ht="15" hidden="false" customHeight="false" outlineLevel="0" collapsed="false">
      <c r="A25" s="22" t="n">
        <f aca="false">IF(B25="","",COUNTIFS(Overall!$C$2:$C$1000,"GK",Overall!$F$2:$F$1000,"&gt;"&amp;C25)+1)</f>
        <v>24</v>
      </c>
      <c r="B25" s="11" t="str">
        <f aca="false">IFERROR(INDEX(Overall!$B$2:$B$1000,MATCH("GK|24",Overall!$I$2:$I$1000,0)),"")</f>
        <v>Bowser</v>
      </c>
      <c r="C25" s="19" t="n">
        <f aca="false">IFERROR(INDEX(Overall!$F$2:$F$1000,MATCH("GK|24",Overall!$I$2:$I$1000,0)),"")</f>
        <v>82</v>
      </c>
    </row>
    <row r="26" customFormat="false" ht="15" hidden="false" customHeight="false" outlineLevel="0" collapsed="false">
      <c r="A26" s="22" t="n">
        <f aca="false">IF(B26="","",COUNTIFS(Overall!$C$2:$C$1000,"GK",Overall!$F$2:$F$1000,"&gt;"&amp;C26)+1)</f>
        <v>24</v>
      </c>
      <c r="B26" s="11" t="str">
        <f aca="false">IFERROR(INDEX(Overall!$B$2:$B$1000,MATCH("GK|25",Overall!$I$2:$I$1000,0)),"")</f>
        <v>Chief Wiggum</v>
      </c>
      <c r="C26" s="19" t="n">
        <f aca="false">IFERROR(INDEX(Overall!$F$2:$F$1000,MATCH("GK|25",Overall!$I$2:$I$1000,0)),"")</f>
        <v>82</v>
      </c>
    </row>
    <row r="27" customFormat="false" ht="15" hidden="false" customHeight="false" outlineLevel="0" collapsed="false">
      <c r="A27" s="22" t="n">
        <f aca="false">IF(B27="","",COUNTIFS(Overall!$C$2:$C$1000,"GK",Overall!$F$2:$F$1000,"&gt;"&amp;C27)+1)</f>
        <v>24</v>
      </c>
      <c r="B27" s="11" t="str">
        <f aca="false">IFERROR(INDEX(Overall!$B$2:$B$1000,MATCH("GK|26",Overall!$I$2:$I$1000,0)),"")</f>
        <v>Mortis</v>
      </c>
      <c r="C27" s="19" t="n">
        <f aca="false">IFERROR(INDEX(Overall!$F$2:$F$1000,MATCH("GK|26",Overall!$I$2:$I$1000,0)),"")</f>
        <v>82</v>
      </c>
    </row>
    <row r="28" customFormat="false" ht="15" hidden="false" customHeight="false" outlineLevel="0" collapsed="false">
      <c r="A28" s="22" t="n">
        <f aca="false">IF(B28="","",COUNTIFS(Overall!$C$2:$C$1000,"GK",Overall!$F$2:$F$1000,"&gt;"&amp;C28)+1)</f>
        <v>27</v>
      </c>
      <c r="B28" s="11" t="str">
        <f aca="false">IFERROR(INDEX(Overall!$B$2:$B$1000,MATCH("GK|27",Overall!$I$2:$I$1000,0)),"")</f>
        <v>Lord Slug</v>
      </c>
      <c r="C28" s="19" t="n">
        <f aca="false">IFERROR(INDEX(Overall!$F$2:$F$1000,MATCH("GK|27",Overall!$I$2:$I$1000,0)),"")</f>
        <v>81</v>
      </c>
    </row>
    <row r="29" customFormat="false" ht="15" hidden="false" customHeight="false" outlineLevel="0" collapsed="false">
      <c r="A29" s="22" t="n">
        <f aca="false">IF(B29="","",COUNTIFS(Overall!$C$2:$C$1000,"GK",Overall!$F$2:$F$1000,"&gt;"&amp;C29)+1)</f>
        <v>27</v>
      </c>
      <c r="B29" s="11" t="str">
        <f aca="false">IFERROR(INDEX(Overall!$B$2:$B$1000,MATCH("GK|28",Overall!$I$2:$I$1000,0)),"")</f>
        <v>Parappa</v>
      </c>
      <c r="C29" s="19" t="n">
        <f aca="false">IFERROR(INDEX(Overall!$F$2:$F$1000,MATCH("GK|28",Overall!$I$2:$I$1000,0)),"")</f>
        <v>81</v>
      </c>
    </row>
    <row r="30" customFormat="false" ht="15" hidden="false" customHeight="false" outlineLevel="0" collapsed="false">
      <c r="A30" s="22" t="n">
        <f aca="false">IF(B30="","",COUNTIFS(Overall!$C$2:$C$1000,"GK",Overall!$F$2:$F$1000,"&gt;"&amp;C30)+1)</f>
        <v>29</v>
      </c>
      <c r="B30" s="11" t="str">
        <f aca="false">IFERROR(INDEX(Overall!$B$2:$B$1000,MATCH("GK|29",Overall!$I$2:$I$1000,0)),"")</f>
        <v>King Dedede</v>
      </c>
      <c r="C30" s="19" t="n">
        <f aca="false">IFERROR(INDEX(Overall!$F$2:$F$1000,MATCH("GK|29",Overall!$I$2:$I$1000,0)),"")</f>
        <v>80</v>
      </c>
    </row>
    <row r="31" customFormat="false" ht="15" hidden="false" customHeight="false" outlineLevel="0" collapsed="false">
      <c r="A31" s="22" t="n">
        <f aca="false">IF(B31="","",COUNTIFS(Overall!$C$2:$C$1000,"GK",Overall!$F$2:$F$1000,"&gt;"&amp;C31)+1)</f>
        <v>29</v>
      </c>
      <c r="B31" s="11" t="str">
        <f aca="false">IFERROR(INDEX(Overall!$B$2:$B$1000,MATCH("GK|30",Overall!$I$2:$I$1000,0)),"")</f>
        <v>Megazord</v>
      </c>
      <c r="C31" s="19" t="n">
        <f aca="false">IFERROR(INDEX(Overall!$F$2:$F$1000,MATCH("GK|30",Overall!$I$2:$I$1000,0)),"")</f>
        <v>80</v>
      </c>
    </row>
    <row r="32" customFormat="false" ht="15" hidden="false" customHeight="false" outlineLevel="0" collapsed="false">
      <c r="A32" s="22" t="n">
        <f aca="false">IF(B32="","",COUNTIFS(Overall!$C$2:$C$1000,"GK",Overall!$F$2:$F$1000,"&gt;"&amp;C32)+1)</f>
        <v>29</v>
      </c>
      <c r="B32" s="11" t="str">
        <f aca="false">IFERROR(INDEX(Overall!$B$2:$B$1000,MATCH("GK|31",Overall!$I$2:$I$1000,0)),"")</f>
        <v>Harambe</v>
      </c>
      <c r="C32" s="19" t="n">
        <f aca="false">IFERROR(INDEX(Overall!$F$2:$F$1000,MATCH("GK|31",Overall!$I$2:$I$1000,0)),"")</f>
        <v>80</v>
      </c>
    </row>
    <row r="33" customFormat="false" ht="15" hidden="false" customHeight="false" outlineLevel="0" collapsed="false">
      <c r="A33" s="22" t="n">
        <f aca="false">IF(B33="","",COUNTIFS(Overall!$C$2:$C$1000,"GK",Overall!$F$2:$F$1000,"&gt;"&amp;C33)+1)</f>
        <v>29</v>
      </c>
      <c r="B33" s="11" t="str">
        <f aca="false">IFERROR(INDEX(Overall!$B$2:$B$1000,MATCH("GK|32",Overall!$I$2:$I$1000,0)),"")</f>
        <v>Snorlax</v>
      </c>
      <c r="C33" s="19" t="n">
        <f aca="false">IFERROR(INDEX(Overall!$F$2:$F$1000,MATCH("GK|32",Overall!$I$2:$I$1000,0)),"")</f>
        <v>80</v>
      </c>
    </row>
    <row r="34" customFormat="false" ht="15" hidden="false" customHeight="false" outlineLevel="0" collapsed="false">
      <c r="A34" s="22" t="n">
        <f aca="false">IF(B34="","",COUNTIFS(Overall!$C$2:$C$1000,"GK",Overall!$F$2:$F$1000,"&gt;"&amp;C34)+1)</f>
        <v>33</v>
      </c>
      <c r="B34" s="11" t="str">
        <f aca="false">IFERROR(INDEX(Overall!$B$2:$B$1000,MATCH("GK|33",Overall!$I$2:$I$1000,0)),"")</f>
        <v>Dr Nefario</v>
      </c>
      <c r="C34" s="19" t="n">
        <f aca="false">IFERROR(INDEX(Overall!$F$2:$F$1000,MATCH("GK|33",Overall!$I$2:$I$1000,0)),"")</f>
        <v>77</v>
      </c>
    </row>
    <row r="35" customFormat="false" ht="15" hidden="false" customHeight="false" outlineLevel="0" collapsed="false">
      <c r="A35" s="22" t="n">
        <f aca="false">IF(B35="","",COUNTIFS(Overall!$C$2:$C$1000,"GK",Overall!$F$2:$F$1000,"&gt;"&amp;C35)+1)</f>
        <v>34</v>
      </c>
      <c r="B35" s="11" t="str">
        <f aca="false">IFERROR(INDEX(Overall!$B$2:$B$1000,MATCH("GK|34",Overall!$I$2:$I$1000,0)),"")</f>
        <v>Future</v>
      </c>
      <c r="C35" s="19" t="n">
        <f aca="false">IFERROR(INDEX(Overall!$F$2:$F$1000,MATCH("GK|34",Overall!$I$2:$I$1000,0)),"")</f>
        <v>76</v>
      </c>
    </row>
    <row r="36" customFormat="false" ht="15" hidden="false" customHeight="false" outlineLevel="0" collapsed="false">
      <c r="A36" s="22" t="n">
        <f aca="false">IF(B36="","",COUNTIFS(Overall!$C$2:$C$1000,"GK",Overall!$F$2:$F$1000,"&gt;"&amp;C36)+1)</f>
        <v>35</v>
      </c>
      <c r="B36" s="11" t="str">
        <f aca="false">IFERROR(INDEX(Overall!$B$2:$B$1000,MATCH("GK|35",Overall!$I$2:$I$1000,0)),"")</f>
        <v>Martin Luther King</v>
      </c>
      <c r="C36" s="19" t="n">
        <f aca="false">IFERROR(INDEX(Overall!$F$2:$F$1000,MATCH("GK|35",Overall!$I$2:$I$1000,0)),"")</f>
        <v>74</v>
      </c>
    </row>
    <row r="37" customFormat="false" ht="15" hidden="false" customHeight="false" outlineLevel="0" collapsed="false">
      <c r="A37" s="22" t="n">
        <f aca="false">IF(B37="","",COUNTIFS(Overall!$C$2:$C$1000,"GK",Overall!$F$2:$F$1000,"&gt;"&amp;C37)+1)</f>
        <v>36</v>
      </c>
      <c r="B37" s="11" t="str">
        <f aca="false">IFERROR(INDEX(Overall!$B$2:$B$1000,MATCH("GK|36",Overall!$I$2:$I$1000,0)),"")</f>
        <v>Donald Trump</v>
      </c>
      <c r="C37" s="19" t="n">
        <f aca="false">IFERROR(INDEX(Overall!$F$2:$F$1000,MATCH("GK|36",Overall!$I$2:$I$1000,0)),"")</f>
        <v>40</v>
      </c>
    </row>
    <row r="38" customFormat="false" ht="15" hidden="false" customHeight="false" outlineLevel="0" collapsed="false">
      <c r="A38" s="22" t="str">
        <f aca="false">IF(B38="","",COUNTIFS(Overall!$C$2:$C$1000,"GK",Overall!$F$2:$F$1000,"&gt;"&amp;C38)+1)</f>
        <v/>
      </c>
      <c r="B38" s="11" t="str">
        <f aca="false">IFERROR(INDEX(Overall!$B$2:$B$1000,MATCH("GK|37",Overall!$I$2:$I$1000,0)),"")</f>
        <v/>
      </c>
      <c r="C38" s="19" t="str">
        <f aca="false">IFERROR(INDEX(Overall!$F$2:$F$1000,MATCH("GK|37",Overall!$I$2:$I$1000,0)),"")</f>
        <v/>
      </c>
    </row>
    <row r="39" customFormat="false" ht="15" hidden="false" customHeight="false" outlineLevel="0" collapsed="false">
      <c r="A39" s="22" t="str">
        <f aca="false">IF(B39="","",COUNTIFS(Overall!$C$2:$C$1000,"GK",Overall!$F$2:$F$1000,"&gt;"&amp;C39)+1)</f>
        <v/>
      </c>
      <c r="B39" s="11" t="str">
        <f aca="false">IFERROR(INDEX(Overall!$B$2:$B$1000,MATCH("GK|38",Overall!$I$2:$I$1000,0)),"")</f>
        <v/>
      </c>
      <c r="C39" s="19" t="str">
        <f aca="false">IFERROR(INDEX(Overall!$F$2:$F$1000,MATCH("GK|38",Overall!$I$2:$I$1000,0)),"")</f>
        <v/>
      </c>
    </row>
    <row r="40" customFormat="false" ht="15" hidden="false" customHeight="false" outlineLevel="0" collapsed="false">
      <c r="A40" s="22" t="str">
        <f aca="false">IF(B40="","",COUNTIFS(Overall!$C$2:$C$1000,"GK",Overall!$F$2:$F$1000,"&gt;"&amp;C40)+1)</f>
        <v/>
      </c>
      <c r="B40" s="11" t="str">
        <f aca="false">IFERROR(INDEX(Overall!$B$2:$B$1000,MATCH("GK|39",Overall!$I$2:$I$1000,0)),"")</f>
        <v/>
      </c>
      <c r="C40" s="19" t="str">
        <f aca="false">IFERROR(INDEX(Overall!$F$2:$F$1000,MATCH("GK|39",Overall!$I$2:$I$1000,0)),"")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IF(B41="","",COUNTIFS(Overall!$C$2:$C$1000,"GK",Overall!$F$2:$F$1000,"&gt;"&amp;C41)+1)</f>
        <v/>
      </c>
      <c r="B41" s="11" t="str">
        <f aca="false">IFERROR(INDEX(Overall!$B$2:$B$1000,MATCH("GK|40",Overall!$I$2:$I$1000,0)),"")</f>
        <v/>
      </c>
      <c r="C41" s="19" t="str">
        <f aca="false">IFERROR(INDEX(Overall!$F$2:$F$1000,MATCH("GK|40",Overall!$I$2:$I$1000,0)),"")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IF(B42="","",COUNTIFS(Overall!$C$2:$C$1000,"GK",Overall!$F$2:$F$1000,"&gt;"&amp;C42)+1)</f>
        <v/>
      </c>
      <c r="B42" s="11" t="str">
        <f aca="false">IFERROR(INDEX(Overall!$B$2:$B$1000,MATCH("GK|41",Overall!$I$2:$I$1000,0)),"")</f>
        <v/>
      </c>
      <c r="C42" s="19" t="str">
        <f aca="false">IFERROR(INDEX(Overall!$F$2:$F$1000,MATCH("GK|41",Overall!$I$2:$I$1000,0)),"")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IF(B43="","",COUNTIFS(Overall!$C$2:$C$1000,"GK",Overall!$F$2:$F$1000,"&gt;"&amp;C43)+1)</f>
        <v/>
      </c>
      <c r="B43" s="11" t="str">
        <f aca="false">IFERROR(INDEX(Overall!$B$2:$B$1000,MATCH("GK|42",Overall!$I$2:$I$1000,0)),"")</f>
        <v/>
      </c>
      <c r="C43" s="19" t="str">
        <f aca="false">IFERROR(INDEX(Overall!$F$2:$F$1000,MATCH("GK|42",Overall!$I$2:$I$1000,0)),"")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IF(B44="","",COUNTIFS(Overall!$C$2:$C$1000,"GK",Overall!$F$2:$F$1000,"&gt;"&amp;C44)+1)</f>
        <v/>
      </c>
      <c r="B44" s="11" t="str">
        <f aca="false">IFERROR(INDEX(Overall!$B$2:$B$1000,MATCH("GK|43",Overall!$I$2:$I$1000,0)),"")</f>
        <v/>
      </c>
      <c r="C44" s="19" t="str">
        <f aca="false">IFERROR(INDEX(Overall!$F$2:$F$1000,MATCH("GK|43",Overall!$I$2:$I$1000,0)),"")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IF(B45="","",COUNTIFS(Overall!$C$2:$C$1000,"GK",Overall!$F$2:$F$1000,"&gt;"&amp;C45)+1)</f>
        <v/>
      </c>
      <c r="B45" s="11" t="str">
        <f aca="false">IFERROR(INDEX(Overall!$B$2:$B$1000,MATCH("GK|44",Overall!$I$2:$I$1000,0)),"")</f>
        <v/>
      </c>
      <c r="C45" s="19" t="str">
        <f aca="false">IFERROR(INDEX(Overall!$F$2:$F$1000,MATCH("GK|44",Overall!$I$2:$I$1000,0)),"")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IF(B46="","",COUNTIFS(Overall!$C$2:$C$1000,"GK",Overall!$F$2:$F$1000,"&gt;"&amp;C46)+1)</f>
        <v/>
      </c>
      <c r="B46" s="11" t="str">
        <f aca="false">IFERROR(INDEX(Overall!$B$2:$B$1000,MATCH("GK|45",Overall!$I$2:$I$1000,0)),"")</f>
        <v/>
      </c>
      <c r="C46" s="19" t="str">
        <f aca="false">IFERROR(INDEX(Overall!$F$2:$F$1000,MATCH("GK|45",Overall!$I$2:$I$1000,0)),"")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IF(B47="","",COUNTIFS(Overall!$C$2:$C$1000,"GK",Overall!$F$2:$F$1000,"&gt;"&amp;C47)+1)</f>
        <v/>
      </c>
      <c r="B47" s="11" t="str">
        <f aca="false">IFERROR(INDEX(Overall!$B$2:$B$1000,MATCH("GK|46",Overall!$I$2:$I$1000,0)),"")</f>
        <v/>
      </c>
      <c r="C47" s="19" t="str">
        <f aca="false">IFERROR(INDEX(Overall!$F$2:$F$1000,MATCH("GK|46",Overall!$I$2:$I$1000,0)),"")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IF(B48="","",COUNTIFS(Overall!$C$2:$C$1000,"GK",Overall!$F$2:$F$1000,"&gt;"&amp;C48)+1)</f>
        <v/>
      </c>
      <c r="B48" s="11" t="str">
        <f aca="false">IFERROR(INDEX(Overall!$B$2:$B$1000,MATCH("GK|47",Overall!$I$2:$I$1000,0)),"")</f>
        <v/>
      </c>
      <c r="C48" s="19" t="str">
        <f aca="false">IFERROR(INDEX(Overall!$F$2:$F$1000,MATCH("GK|47",Overall!$I$2:$I$1000,0)),"")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IF(B49="","",COUNTIFS(Overall!$C$2:$C$1000,"GK",Overall!$F$2:$F$1000,"&gt;"&amp;C49)+1)</f>
        <v/>
      </c>
      <c r="B49" s="11" t="str">
        <f aca="false">IFERROR(INDEX(Overall!$B$2:$B$1000,MATCH("GK|48",Overall!$I$2:$I$1000,0)),"")</f>
        <v/>
      </c>
      <c r="C49" s="19" t="str">
        <f aca="false">IFERROR(INDEX(Overall!$F$2:$F$1000,MATCH("GK|48",Overall!$I$2:$I$1000,0)),"")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IF(B50="","",COUNTIFS(Overall!$C$2:$C$1000,"GK",Overall!$F$2:$F$1000,"&gt;"&amp;C50)+1)</f>
        <v/>
      </c>
      <c r="B50" s="11" t="str">
        <f aca="false">IFERROR(INDEX(Overall!$B$2:$B$1000,MATCH("GK|49",Overall!$I$2:$I$1000,0)),"")</f>
        <v/>
      </c>
      <c r="C50" s="19" t="str">
        <f aca="false">IFERROR(INDEX(Overall!$F$2:$F$1000,MATCH("GK|49",Overall!$I$2:$I$1000,0)),"")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IF(B51="","",COUNTIFS(Overall!$C$2:$C$1000,"GK",Overall!$F$2:$F$1000,"&gt;"&amp;C51)+1)</f>
        <v/>
      </c>
      <c r="B51" s="11" t="str">
        <f aca="false">IFERROR(INDEX(Overall!$B$2:$B$1000,MATCH("GK|50",Overall!$I$2:$I$1000,0)),"")</f>
        <v/>
      </c>
      <c r="C51" s="19" t="str">
        <f aca="false">IFERROR(INDEX(Overall!$F$2:$F$1000,MATCH("GK|50",Overall!$I$2:$I$1000,0)),"")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IF(B52="","",COUNTIFS(Overall!$C$2:$C$1000,"GK",Overall!$F$2:$F$1000,"&gt;"&amp;C52)+1)</f>
        <v/>
      </c>
      <c r="B52" s="11" t="str">
        <f aca="false">IFERROR(INDEX(Overall!$B$2:$B$1000,MATCH("GK|51",Overall!$I$2:$I$1000,0)),"")</f>
        <v/>
      </c>
      <c r="C52" s="19" t="str">
        <f aca="false">IFERROR(INDEX(Overall!$F$2:$F$1000,MATCH("GK|51",Overall!$I$2:$I$1000,0)),"")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IF(B53="","",COUNTIFS(Overall!$C$2:$C$1000,"GK",Overall!$F$2:$F$1000,"&gt;"&amp;C53)+1)</f>
        <v/>
      </c>
      <c r="B53" s="11" t="str">
        <f aca="false">IFERROR(INDEX(Overall!$B$2:$B$1000,MATCH("GK|52",Overall!$I$2:$I$1000,0)),"")</f>
        <v/>
      </c>
      <c r="C53" s="19" t="str">
        <f aca="false">IFERROR(INDEX(Overall!$F$2:$F$1000,MATCH("GK|52",Overall!$I$2:$I$1000,0)),"")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IF(B54="","",COUNTIFS(Overall!$C$2:$C$1000,"GK",Overall!$F$2:$F$1000,"&gt;"&amp;C54)+1)</f>
        <v/>
      </c>
      <c r="B54" s="11" t="str">
        <f aca="false">IFERROR(INDEX(Overall!$B$2:$B$1000,MATCH("GK|53",Overall!$I$2:$I$1000,0)),"")</f>
        <v/>
      </c>
      <c r="C54" s="19" t="str">
        <f aca="false">IFERROR(INDEX(Overall!$F$2:$F$1000,MATCH("GK|53",Overall!$I$2:$I$1000,0)),"")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IF(B55="","",COUNTIFS(Overall!$C$2:$C$1000,"GK",Overall!$F$2:$F$1000,"&gt;"&amp;C55)+1)</f>
        <v/>
      </c>
      <c r="B55" s="11" t="str">
        <f aca="false">IFERROR(INDEX(Overall!$B$2:$B$1000,MATCH("GK|54",Overall!$I$2:$I$1000,0)),"")</f>
        <v/>
      </c>
      <c r="C55" s="19" t="str">
        <f aca="false">IFERROR(INDEX(Overall!$F$2:$F$1000,MATCH("GK|54",Overall!$I$2:$I$1000,0)),"")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IF(B56="","",COUNTIFS(Overall!$C$2:$C$1000,"GK",Overall!$F$2:$F$1000,"&gt;"&amp;C56)+1)</f>
        <v/>
      </c>
      <c r="B56" s="11" t="str">
        <f aca="false">IFERROR(INDEX(Overall!$B$2:$B$1000,MATCH("GK|55",Overall!$I$2:$I$1000,0)),"")</f>
        <v/>
      </c>
      <c r="C56" s="19" t="str">
        <f aca="false">IFERROR(INDEX(Overall!$F$2:$F$1000,MATCH("GK|55",Overall!$I$2:$I$1000,0)),"")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IF(B57="","",COUNTIFS(Overall!$C$2:$C$1000,"GK",Overall!$F$2:$F$1000,"&gt;"&amp;C57)+1)</f>
        <v/>
      </c>
      <c r="B57" s="11" t="str">
        <f aca="false">IFERROR(INDEX(Overall!$B$2:$B$1000,MATCH("GK|56",Overall!$I$2:$I$1000,0)),"")</f>
        <v/>
      </c>
      <c r="C57" s="19" t="str">
        <f aca="false">IFERROR(INDEX(Overall!$F$2:$F$1000,MATCH("GK|56",Overall!$I$2:$I$1000,0)),"")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IF(B58="","",COUNTIFS(Overall!$C$2:$C$1000,"GK",Overall!$F$2:$F$1000,"&gt;"&amp;C58)+1)</f>
        <v/>
      </c>
      <c r="B58" s="11" t="str">
        <f aca="false">IFERROR(INDEX(Overall!$B$2:$B$1000,MATCH("GK|57",Overall!$I$2:$I$1000,0)),"")</f>
        <v/>
      </c>
      <c r="C58" s="19" t="str">
        <f aca="false">IFERROR(INDEX(Overall!$F$2:$F$1000,MATCH("GK|57",Overall!$I$2:$I$1000,0)),"")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IF(B59="","",COUNTIFS(Overall!$C$2:$C$1000,"GK",Overall!$F$2:$F$1000,"&gt;"&amp;C59)+1)</f>
        <v/>
      </c>
      <c r="B59" s="11" t="str">
        <f aca="false">IFERROR(INDEX(Overall!$B$2:$B$1000,MATCH("GK|58",Overall!$I$2:$I$1000,0)),"")</f>
        <v/>
      </c>
      <c r="C59" s="19" t="str">
        <f aca="false">IFERROR(INDEX(Overall!$F$2:$F$1000,MATCH("GK|58",Overall!$I$2:$I$1000,0)),"")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IF(B60="","",COUNTIFS(Overall!$C$2:$C$1000,"GK",Overall!$F$2:$F$1000,"&gt;"&amp;C60)+1)</f>
        <v/>
      </c>
      <c r="B60" s="11" t="str">
        <f aca="false">IFERROR(INDEX(Overall!$B$2:$B$1000,MATCH("GK|59",Overall!$I$2:$I$1000,0)),"")</f>
        <v/>
      </c>
      <c r="C60" s="19" t="str">
        <f aca="false">IFERROR(INDEX(Overall!$F$2:$F$1000,MATCH("GK|59",Overall!$I$2:$I$1000,0)),"")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IF(B61="","",COUNTIFS(Overall!$C$2:$C$1000,"GK",Overall!$F$2:$F$1000,"&gt;"&amp;C61)+1)</f>
        <v/>
      </c>
      <c r="B61" s="11" t="str">
        <f aca="false">IFERROR(INDEX(Overall!$B$2:$B$1000,MATCH("GK|60",Overall!$I$2:$I$1000,0)),"")</f>
        <v/>
      </c>
      <c r="C61" s="19" t="str">
        <f aca="false">IFERROR(INDEX(Overall!$F$2:$F$1000,MATCH("GK|60",Overall!$I$2:$I$1000,0)),"")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IF(B62="","",COUNTIFS(Overall!$C$2:$C$1000,"GK",Overall!$F$2:$F$1000,"&gt;"&amp;C62)+1)</f>
        <v/>
      </c>
      <c r="B62" s="11" t="str">
        <f aca="false">IFERROR(INDEX(Overall!$B$2:$B$1000,MATCH("GK|61",Overall!$I$2:$I$1000,0)),"")</f>
        <v/>
      </c>
      <c r="C62" s="19" t="str">
        <f aca="false">IFERROR(INDEX(Overall!$F$2:$F$1000,MATCH("GK|61",Overall!$I$2:$I$1000,0)),"")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IF(B63="","",COUNTIFS(Overall!$C$2:$C$1000,"GK",Overall!$F$2:$F$1000,"&gt;"&amp;C63)+1)</f>
        <v/>
      </c>
      <c r="B63" s="11" t="str">
        <f aca="false">IFERROR(INDEX(Overall!$B$2:$B$1000,MATCH("GK|62",Overall!$I$2:$I$1000,0)),"")</f>
        <v/>
      </c>
      <c r="C63" s="19" t="str">
        <f aca="false">IFERROR(INDEX(Overall!$F$2:$F$1000,MATCH("GK|62",Overall!$I$2:$I$1000,0)),"")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IF(B64="","",COUNTIFS(Overall!$C$2:$C$1000,"GK",Overall!$F$2:$F$1000,"&gt;"&amp;C64)+1)</f>
        <v/>
      </c>
      <c r="B64" s="11" t="str">
        <f aca="false">IFERROR(INDEX(Overall!$B$2:$B$1000,MATCH("GK|63",Overall!$I$2:$I$1000,0)),"")</f>
        <v/>
      </c>
      <c r="C64" s="19" t="str">
        <f aca="false">IFERROR(INDEX(Overall!$F$2:$F$1000,MATCH("GK|63",Overall!$I$2:$I$1000,0)),"")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IF(B65="","",COUNTIFS(Overall!$C$2:$C$1000,"GK",Overall!$F$2:$F$1000,"&gt;"&amp;C65)+1)</f>
        <v/>
      </c>
      <c r="B65" s="11" t="str">
        <f aca="false">IFERROR(INDEX(Overall!$B$2:$B$1000,MATCH("GK|64",Overall!$I$2:$I$1000,0)),"")</f>
        <v/>
      </c>
      <c r="C65" s="19" t="str">
        <f aca="false">IFERROR(INDEX(Overall!$F$2:$F$1000,MATCH("GK|64",Overall!$I$2:$I$1000,0)),"")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IF(B66="","",COUNTIFS(Overall!$C$2:$C$1000,"GK",Overall!$F$2:$F$1000,"&gt;"&amp;C66)+1)</f>
        <v/>
      </c>
      <c r="B66" s="11" t="str">
        <f aca="false">IFERROR(INDEX(Overall!$B$2:$B$1000,MATCH("GK|65",Overall!$I$2:$I$1000,0)),"")</f>
        <v/>
      </c>
      <c r="C66" s="19" t="str">
        <f aca="false">IFERROR(INDEX(Overall!$F$2:$F$1000,MATCH("GK|65",Overall!$I$2:$I$1000,0)),"")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IF(B67="","",COUNTIFS(Overall!$C$2:$C$1000,"GK",Overall!$F$2:$F$1000,"&gt;"&amp;C67)+1)</f>
        <v/>
      </c>
      <c r="B67" s="11" t="str">
        <f aca="false">IFERROR(INDEX(Overall!$B$2:$B$1000,MATCH("GK|66",Overall!$I$2:$I$1000,0)),"")</f>
        <v/>
      </c>
      <c r="C67" s="19" t="str">
        <f aca="false">IFERROR(INDEX(Overall!$F$2:$F$1000,MATCH("GK|66",Overall!$I$2:$I$1000,0)),"")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IF(B68="","",COUNTIFS(Overall!$C$2:$C$1000,"GK",Overall!$F$2:$F$1000,"&gt;"&amp;C68)+1)</f>
        <v/>
      </c>
      <c r="B68" s="11" t="str">
        <f aca="false">IFERROR(INDEX(Overall!$B$2:$B$1000,MATCH("GK|67",Overall!$I$2:$I$1000,0)),"")</f>
        <v/>
      </c>
      <c r="C68" s="19" t="str">
        <f aca="false">IFERROR(INDEX(Overall!$F$2:$F$1000,MATCH("GK|67",Overall!$I$2:$I$1000,0)),"")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IF(B69="","",COUNTIFS(Overall!$C$2:$C$1000,"GK",Overall!$F$2:$F$1000,"&gt;"&amp;C69)+1)</f>
        <v/>
      </c>
      <c r="B69" s="11" t="str">
        <f aca="false">IFERROR(INDEX(Overall!$B$2:$B$1000,MATCH("GK|68",Overall!$I$2:$I$1000,0)),"")</f>
        <v/>
      </c>
      <c r="C69" s="19" t="str">
        <f aca="false">IFERROR(INDEX(Overall!$F$2:$F$1000,MATCH("GK|68",Overall!$I$2:$I$1000,0)),"")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IF(B70="","",COUNTIFS(Overall!$C$2:$C$1000,"GK",Overall!$F$2:$F$1000,"&gt;"&amp;C70)+1)</f>
        <v/>
      </c>
      <c r="B70" s="11" t="str">
        <f aca="false">IFERROR(INDEX(Overall!$B$2:$B$1000,MATCH("GK|69",Overall!$I$2:$I$1000,0)),"")</f>
        <v/>
      </c>
      <c r="C70" s="19" t="str">
        <f aca="false">IFERROR(INDEX(Overall!$F$2:$F$1000,MATCH("GK|69",Overall!$I$2:$I$1000,0)),"")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IF(B71="","",COUNTIFS(Overall!$C$2:$C$1000,"GK",Overall!$F$2:$F$1000,"&gt;"&amp;C71)+1)</f>
        <v/>
      </c>
      <c r="B71" s="11" t="str">
        <f aca="false">IFERROR(INDEX(Overall!$B$2:$B$1000,MATCH("GK|70",Overall!$I$2:$I$1000,0)),"")</f>
        <v/>
      </c>
      <c r="C71" s="19" t="str">
        <f aca="false">IFERROR(INDEX(Overall!$F$2:$F$1000,MATCH("GK|70",Overall!$I$2:$I$1000,0)),"")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IF(B72="","",COUNTIFS(Overall!$C$2:$C$1000,"GK",Overall!$F$2:$F$1000,"&gt;"&amp;C72)+1)</f>
        <v/>
      </c>
      <c r="B72" s="11" t="str">
        <f aca="false">IFERROR(INDEX(Overall!$B$2:$B$1000,MATCH("GK|71",Overall!$I$2:$I$1000,0)),"")</f>
        <v/>
      </c>
      <c r="C72" s="19" t="str">
        <f aca="false">IFERROR(INDEX(Overall!$F$2:$F$1000,MATCH("GK|71",Overall!$I$2:$I$1000,0)),"")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IF(B73="","",COUNTIFS(Overall!$C$2:$C$1000,"GK",Overall!$F$2:$F$1000,"&gt;"&amp;C73)+1)</f>
        <v/>
      </c>
      <c r="B73" s="11" t="str">
        <f aca="false">IFERROR(INDEX(Overall!$B$2:$B$1000,MATCH("GK|72",Overall!$I$2:$I$1000,0)),"")</f>
        <v/>
      </c>
      <c r="C73" s="19" t="str">
        <f aca="false">IFERROR(INDEX(Overall!$F$2:$F$1000,MATCH("GK|72",Overall!$I$2:$I$1000,0)),"")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IF(B74="","",COUNTIFS(Overall!$C$2:$C$1000,"GK",Overall!$F$2:$F$1000,"&gt;"&amp;C74)+1)</f>
        <v/>
      </c>
      <c r="B74" s="11" t="str">
        <f aca="false">IFERROR(INDEX(Overall!$B$2:$B$1000,MATCH("GK|73",Overall!$I$2:$I$1000,0)),"")</f>
        <v/>
      </c>
      <c r="C74" s="19" t="str">
        <f aca="false">IFERROR(INDEX(Overall!$F$2:$F$1000,MATCH("GK|73",Overall!$I$2:$I$1000,0)),"")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IF(B75="","",COUNTIFS(Overall!$C$2:$C$1000,"GK",Overall!$F$2:$F$1000,"&gt;"&amp;C75)+1)</f>
        <v/>
      </c>
      <c r="B75" s="11" t="str">
        <f aca="false">IFERROR(INDEX(Overall!$B$2:$B$1000,MATCH("GK|74",Overall!$I$2:$I$1000,0)),"")</f>
        <v/>
      </c>
      <c r="C75" s="19" t="str">
        <f aca="false">IFERROR(INDEX(Overall!$F$2:$F$1000,MATCH("GK|74",Overall!$I$2:$I$1000,0)),"")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IF(B76="","",COUNTIFS(Overall!$C$2:$C$1000,"GK",Overall!$F$2:$F$1000,"&gt;"&amp;C76)+1)</f>
        <v/>
      </c>
      <c r="B76" s="11" t="str">
        <f aca="false">IFERROR(INDEX(Overall!$B$2:$B$1000,MATCH("GK|75",Overall!$I$2:$I$1000,0)),"")</f>
        <v/>
      </c>
      <c r="C76" s="19" t="str">
        <f aca="false">IFERROR(INDEX(Overall!$F$2:$F$1000,MATCH("GK|75",Overall!$I$2:$I$1000,0)),"")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IF(B77="","",COUNTIFS(Overall!$C$2:$C$1000,"GK",Overall!$F$2:$F$1000,"&gt;"&amp;C77)+1)</f>
        <v/>
      </c>
      <c r="B77" s="11" t="str">
        <f aca="false">IFERROR(INDEX(Overall!$B$2:$B$1000,MATCH("GK|76",Overall!$I$2:$I$1000,0)),"")</f>
        <v/>
      </c>
      <c r="C77" s="19" t="str">
        <f aca="false">IFERROR(INDEX(Overall!$F$2:$F$1000,MATCH("GK|76",Overall!$I$2:$I$1000,0)),"")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IF(B78="","",COUNTIFS(Overall!$C$2:$C$1000,"GK",Overall!$F$2:$F$1000,"&gt;"&amp;C78)+1)</f>
        <v/>
      </c>
      <c r="B78" s="11" t="str">
        <f aca="false">IFERROR(INDEX(Overall!$B$2:$B$1000,MATCH("GK|77",Overall!$I$2:$I$1000,0)),"")</f>
        <v/>
      </c>
      <c r="C78" s="19" t="str">
        <f aca="false">IFERROR(INDEX(Overall!$F$2:$F$1000,MATCH("GK|77",Overall!$I$2:$I$1000,0)),"")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IF(B79="","",COUNTIFS(Overall!$C$2:$C$1000,"GK",Overall!$F$2:$F$1000,"&gt;"&amp;C79)+1)</f>
        <v/>
      </c>
      <c r="B79" s="11" t="str">
        <f aca="false">IFERROR(INDEX(Overall!$B$2:$B$1000,MATCH("GK|78",Overall!$I$2:$I$1000,0)),"")</f>
        <v/>
      </c>
      <c r="C79" s="19" t="str">
        <f aca="false">IFERROR(INDEX(Overall!$F$2:$F$1000,MATCH("GK|78",Overall!$I$2:$I$1000,0)),"")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IF(B80="","",COUNTIFS(Overall!$C$2:$C$1000,"GK",Overall!$F$2:$F$1000,"&gt;"&amp;C80)+1)</f>
        <v/>
      </c>
      <c r="B80" s="11" t="str">
        <f aca="false">IFERROR(INDEX(Overall!$B$2:$B$1000,MATCH("GK|79",Overall!$I$2:$I$1000,0)),"")</f>
        <v/>
      </c>
      <c r="C80" s="19" t="str">
        <f aca="false">IFERROR(INDEX(Overall!$F$2:$F$1000,MATCH("GK|79",Overall!$I$2:$I$1000,0)),"")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IF(B81="","",COUNTIFS(Overall!$C$2:$C$1000,"GK",Overall!$F$2:$F$1000,"&gt;"&amp;C81)+1)</f>
        <v/>
      </c>
      <c r="B81" s="11" t="str">
        <f aca="false">IFERROR(INDEX(Overall!$B$2:$B$1000,MATCH("GK|80",Overall!$I$2:$I$1000,0)),"")</f>
        <v/>
      </c>
      <c r="C81" s="19" t="str">
        <f aca="false">IFERROR(INDEX(Overall!$F$2:$F$1000,MATCH("GK|80",Overall!$I$2:$I$1000,0)),"")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IF(B82="","",COUNTIFS(Overall!$C$2:$C$1000,"GK",Overall!$F$2:$F$1000,"&gt;"&amp;C82)+1)</f>
        <v/>
      </c>
      <c r="B82" s="11" t="str">
        <f aca="false">IFERROR(INDEX(Overall!$B$2:$B$1000,MATCH("GK|81",Overall!$I$2:$I$1000,0)),"")</f>
        <v/>
      </c>
      <c r="C82" s="19" t="str">
        <f aca="false">IFERROR(INDEX(Overall!$F$2:$F$1000,MATCH("GK|81",Overall!$I$2:$I$1000,0)),"")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IF(B83="","",COUNTIFS(Overall!$C$2:$C$1000,"GK",Overall!$F$2:$F$1000,"&gt;"&amp;C83)+1)</f>
        <v/>
      </c>
      <c r="B83" s="11" t="str">
        <f aca="false">IFERROR(INDEX(Overall!$B$2:$B$1000,MATCH("GK|82",Overall!$I$2:$I$1000,0)),"")</f>
        <v/>
      </c>
      <c r="C83" s="19" t="str">
        <f aca="false">IFERROR(INDEX(Overall!$F$2:$F$1000,MATCH("GK|82",Overall!$I$2:$I$1000,0)),"")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IF(B84="","",COUNTIFS(Overall!$C$2:$C$1000,"GK",Overall!$F$2:$F$1000,"&gt;"&amp;C84)+1)</f>
        <v/>
      </c>
      <c r="B84" s="11" t="str">
        <f aca="false">IFERROR(INDEX(Overall!$B$2:$B$1000,MATCH("GK|83",Overall!$I$2:$I$1000,0)),"")</f>
        <v/>
      </c>
      <c r="C84" s="19" t="str">
        <f aca="false">IFERROR(INDEX(Overall!$F$2:$F$1000,MATCH("GK|83",Overall!$I$2:$I$1000,0)),"")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IF(B85="","",COUNTIFS(Overall!$C$2:$C$1000,"GK",Overall!$F$2:$F$1000,"&gt;"&amp;C85)+1)</f>
        <v/>
      </c>
      <c r="B85" s="11" t="str">
        <f aca="false">IFERROR(INDEX(Overall!$B$2:$B$1000,MATCH("GK|84",Overall!$I$2:$I$1000,0)),"")</f>
        <v/>
      </c>
      <c r="C85" s="19" t="str">
        <f aca="false">IFERROR(INDEX(Overall!$F$2:$F$1000,MATCH("GK|84",Overall!$I$2:$I$1000,0)),"")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IF(B86="","",COUNTIFS(Overall!$C$2:$C$1000,"GK",Overall!$F$2:$F$1000,"&gt;"&amp;C86)+1)</f>
        <v/>
      </c>
      <c r="B86" s="11" t="str">
        <f aca="false">IFERROR(INDEX(Overall!$B$2:$B$1000,MATCH("GK|85",Overall!$I$2:$I$1000,0)),"")</f>
        <v/>
      </c>
      <c r="C86" s="19" t="str">
        <f aca="false">IFERROR(INDEX(Overall!$F$2:$F$1000,MATCH("GK|85",Overall!$I$2:$I$1000,0)),"")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IF(B87="","",COUNTIFS(Overall!$C$2:$C$1000,"GK",Overall!$F$2:$F$1000,"&gt;"&amp;C87)+1)</f>
        <v/>
      </c>
      <c r="B87" s="11" t="str">
        <f aca="false">IFERROR(INDEX(Overall!$B$2:$B$1000,MATCH("GK|86",Overall!$I$2:$I$1000,0)),"")</f>
        <v/>
      </c>
      <c r="C87" s="19" t="str">
        <f aca="false">IFERROR(INDEX(Overall!$F$2:$F$1000,MATCH("GK|86",Overall!$I$2:$I$1000,0)),"")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IF(B88="","",COUNTIFS(Overall!$C$2:$C$1000,"GK",Overall!$F$2:$F$1000,"&gt;"&amp;C88)+1)</f>
        <v/>
      </c>
      <c r="B88" s="11" t="str">
        <f aca="false">IFERROR(INDEX(Overall!$B$2:$B$1000,MATCH("GK|87",Overall!$I$2:$I$1000,0)),"")</f>
        <v/>
      </c>
      <c r="C88" s="19" t="str">
        <f aca="false">IFERROR(INDEX(Overall!$F$2:$F$1000,MATCH("GK|87",Overall!$I$2:$I$1000,0)),"")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IF(B89="","",COUNTIFS(Overall!$C$2:$C$1000,"GK",Overall!$F$2:$F$1000,"&gt;"&amp;C89)+1)</f>
        <v/>
      </c>
      <c r="B89" s="11" t="str">
        <f aca="false">IFERROR(INDEX(Overall!$B$2:$B$1000,MATCH("GK|88",Overall!$I$2:$I$1000,0)),"")</f>
        <v/>
      </c>
      <c r="C89" s="19" t="str">
        <f aca="false">IFERROR(INDEX(Overall!$F$2:$F$1000,MATCH("GK|88",Overall!$I$2:$I$1000,0)),"")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IF(B90="","",COUNTIFS(Overall!$C$2:$C$1000,"GK",Overall!$F$2:$F$1000,"&gt;"&amp;C90)+1)</f>
        <v/>
      </c>
      <c r="B90" s="11" t="str">
        <f aca="false">IFERROR(INDEX(Overall!$B$2:$B$1000,MATCH("GK|89",Overall!$I$2:$I$1000,0)),"")</f>
        <v/>
      </c>
      <c r="C90" s="19" t="str">
        <f aca="false">IFERROR(INDEX(Overall!$F$2:$F$1000,MATCH("GK|89",Overall!$I$2:$I$1000,0)),"")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IF(B91="","",COUNTIFS(Overall!$C$2:$C$1000,"GK",Overall!$F$2:$F$1000,"&gt;"&amp;C91)+1)</f>
        <v/>
      </c>
      <c r="B91" s="11" t="str">
        <f aca="false">IFERROR(INDEX(Overall!$B$2:$B$1000,MATCH("GK|90",Overall!$I$2:$I$1000,0)),"")</f>
        <v/>
      </c>
      <c r="C91" s="19" t="str">
        <f aca="false">IFERROR(INDEX(Overall!$F$2:$F$1000,MATCH("GK|90",Overall!$I$2:$I$1000,0)),"")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IF(B92="","",COUNTIFS(Overall!$C$2:$C$1000,"GK",Overall!$F$2:$F$1000,"&gt;"&amp;C92)+1)</f>
        <v/>
      </c>
      <c r="B92" s="11" t="str">
        <f aca="false">IFERROR(INDEX(Overall!$B$2:$B$1000,MATCH("GK|91",Overall!$I$2:$I$1000,0)),"")</f>
        <v/>
      </c>
      <c r="C92" s="19" t="str">
        <f aca="false">IFERROR(INDEX(Overall!$F$2:$F$1000,MATCH("GK|91",Overall!$I$2:$I$1000,0)),"")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IF(B93="","",COUNTIFS(Overall!$C$2:$C$1000,"GK",Overall!$F$2:$F$1000,"&gt;"&amp;C93)+1)</f>
        <v/>
      </c>
      <c r="B93" s="11" t="str">
        <f aca="false">IFERROR(INDEX(Overall!$B$2:$B$1000,MATCH("GK|92",Overall!$I$2:$I$1000,0)),"")</f>
        <v/>
      </c>
      <c r="C93" s="19" t="str">
        <f aca="false">IFERROR(INDEX(Overall!$F$2:$F$1000,MATCH("GK|92",Overall!$I$2:$I$1000,0)),"")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IF(B94="","",COUNTIFS(Overall!$C$2:$C$1000,"GK",Overall!$F$2:$F$1000,"&gt;"&amp;C94)+1)</f>
        <v/>
      </c>
      <c r="B94" s="11" t="str">
        <f aca="false">IFERROR(INDEX(Overall!$B$2:$B$1000,MATCH("GK|93",Overall!$I$2:$I$1000,0)),"")</f>
        <v/>
      </c>
      <c r="C94" s="19" t="str">
        <f aca="false">IFERROR(INDEX(Overall!$F$2:$F$1000,MATCH("GK|93",Overall!$I$2:$I$1000,0)),"")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IF(B95="","",COUNTIFS(Overall!$C$2:$C$1000,"GK",Overall!$F$2:$F$1000,"&gt;"&amp;C95)+1)</f>
        <v/>
      </c>
      <c r="B95" s="11" t="str">
        <f aca="false">IFERROR(INDEX(Overall!$B$2:$B$1000,MATCH("GK|94",Overall!$I$2:$I$1000,0)),"")</f>
        <v/>
      </c>
      <c r="C95" s="19" t="str">
        <f aca="false">IFERROR(INDEX(Overall!$F$2:$F$1000,MATCH("GK|94",Overall!$I$2:$I$1000,0)),"")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IF(B96="","",COUNTIFS(Overall!$C$2:$C$1000,"GK",Overall!$F$2:$F$1000,"&gt;"&amp;C96)+1)</f>
        <v/>
      </c>
      <c r="B96" s="11" t="str">
        <f aca="false">IFERROR(INDEX(Overall!$B$2:$B$1000,MATCH("GK|95",Overall!$I$2:$I$1000,0)),"")</f>
        <v/>
      </c>
      <c r="C96" s="19" t="str">
        <f aca="false">IFERROR(INDEX(Overall!$F$2:$F$1000,MATCH("GK|95",Overall!$I$2:$I$1000,0)),"")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IF(B97="","",COUNTIFS(Overall!$C$2:$C$1000,"GK",Overall!$F$2:$F$1000,"&gt;"&amp;C97)+1)</f>
        <v/>
      </c>
      <c r="B97" s="11" t="str">
        <f aca="false">IFERROR(INDEX(Overall!$B$2:$B$1000,MATCH("GK|96",Overall!$I$2:$I$1000,0)),"")</f>
        <v/>
      </c>
      <c r="C97" s="19" t="str">
        <f aca="false">IFERROR(INDEX(Overall!$F$2:$F$1000,MATCH("GK|96",Overall!$I$2:$I$1000,0)),"")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IF(B98="","",COUNTIFS(Overall!$C$2:$C$1000,"GK",Overall!$F$2:$F$1000,"&gt;"&amp;C98)+1)</f>
        <v/>
      </c>
      <c r="B98" s="11" t="str">
        <f aca="false">IFERROR(INDEX(Overall!$B$2:$B$1000,MATCH("GK|97",Overall!$I$2:$I$1000,0)),"")</f>
        <v/>
      </c>
      <c r="C98" s="19" t="str">
        <f aca="false">IFERROR(INDEX(Overall!$F$2:$F$1000,MATCH("GK|97",Overall!$I$2:$I$1000,0)),"")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IF(B99="","",COUNTIFS(Overall!$C$2:$C$1000,"GK",Overall!$F$2:$F$1000,"&gt;"&amp;C99)+1)</f>
        <v/>
      </c>
      <c r="B99" s="11" t="str">
        <f aca="false">IFERROR(INDEX(Overall!$B$2:$B$1000,MATCH("GK|98",Overall!$I$2:$I$1000,0)),"")</f>
        <v/>
      </c>
      <c r="C99" s="19" t="str">
        <f aca="false">IFERROR(INDEX(Overall!$F$2:$F$1000,MATCH("GK|98",Overall!$I$2:$I$1000,0)),"")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IF(B100="","",COUNTIFS(Overall!$C$2:$C$1000,"GK",Overall!$F$2:$F$1000,"&gt;"&amp;C100)+1)</f>
        <v/>
      </c>
      <c r="B100" s="11" t="str">
        <f aca="false">IFERROR(INDEX(Overall!$B$2:$B$1000,MATCH("GK|99",Overall!$I$2:$I$1000,0)),"")</f>
        <v/>
      </c>
      <c r="C100" s="19" t="str">
        <f aca="false">IFERROR(INDEX(Overall!$F$2:$F$1000,MATCH("GK|99",Overall!$I$2:$I$1000,0)),"")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IF(B101="","",COUNTIFS(Overall!$C$2:$C$1000,"GK",Overall!$F$2:$F$1000,"&gt;"&amp;C101)+1)</f>
        <v/>
      </c>
      <c r="B101" s="11" t="str">
        <f aca="false">IFERROR(INDEX(Overall!$B$2:$B$1000,MATCH("GK|100",Overall!$I$2:$I$1000,0)),"")</f>
        <v/>
      </c>
      <c r="C101" s="19" t="str">
        <f aca="false">IFERROR(INDEX(Overall!$F$2:$F$1000,MATCH("GK|100",Overall!$I$2:$I$1000,0)),"")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IF(B102="","",COUNTIFS(Overall!$C$2:$C$1000,"GK",Overall!$F$2:$F$1000,"&gt;"&amp;C102)+1)</f>
        <v/>
      </c>
      <c r="B102" s="11" t="str">
        <f aca="false">IFERROR(INDEX(Overall!$B$2:$B$1000,MATCH("GK|101",Overall!$I$2:$I$1000,0)),"")</f>
        <v/>
      </c>
      <c r="C102" s="19" t="str">
        <f aca="false">IFERROR(INDEX(Overall!$F$2:$F$1000,MATCH("GK|101",Overall!$I$2:$I$1000,0)),"")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IF(B103="","",COUNTIFS(Overall!$C$2:$C$1000,"GK",Overall!$F$2:$F$1000,"&gt;"&amp;C103)+1)</f>
        <v/>
      </c>
      <c r="B103" s="11" t="str">
        <f aca="false">IFERROR(INDEX(Overall!$B$2:$B$1000,MATCH("GK|102",Overall!$I$2:$I$1000,0)),"")</f>
        <v/>
      </c>
      <c r="C103" s="19" t="str">
        <f aca="false">IFERROR(INDEX(Overall!$F$2:$F$1000,MATCH("GK|102",Overall!$I$2:$I$1000,0)),"")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IF(B104="","",COUNTIFS(Overall!$C$2:$C$1000,"GK",Overall!$F$2:$F$1000,"&gt;"&amp;C104)+1)</f>
        <v/>
      </c>
      <c r="B104" s="11" t="str">
        <f aca="false">IFERROR(INDEX(Overall!$B$2:$B$1000,MATCH("GK|103",Overall!$I$2:$I$1000,0)),"")</f>
        <v/>
      </c>
      <c r="C104" s="19" t="str">
        <f aca="false">IFERROR(INDEX(Overall!$F$2:$F$1000,MATCH("GK|103",Overall!$I$2:$I$1000,0)),"")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IF(B105="","",COUNTIFS(Overall!$C$2:$C$1000,"GK",Overall!$F$2:$F$1000,"&gt;"&amp;C105)+1)</f>
        <v/>
      </c>
      <c r="B105" s="11" t="str">
        <f aca="false">IFERROR(INDEX(Overall!$B$2:$B$1000,MATCH("GK|104",Overall!$I$2:$I$1000,0)),"")</f>
        <v/>
      </c>
      <c r="C105" s="19" t="str">
        <f aca="false">IFERROR(INDEX(Overall!$F$2:$F$1000,MATCH("GK|104",Overall!$I$2:$I$1000,0)),"")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IF(B106="","",COUNTIFS(Overall!$C$2:$C$1000,"GK",Overall!$F$2:$F$1000,"&gt;"&amp;C106)+1)</f>
        <v/>
      </c>
      <c r="B106" s="11" t="str">
        <f aca="false">IFERROR(INDEX(Overall!$B$2:$B$1000,MATCH("GK|105",Overall!$I$2:$I$1000,0)),"")</f>
        <v/>
      </c>
      <c r="C106" s="19" t="str">
        <f aca="false">IFERROR(INDEX(Overall!$F$2:$F$1000,MATCH("GK|105",Overall!$I$2:$I$1000,0)),"")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IF(B107="","",COUNTIFS(Overall!$C$2:$C$1000,"GK",Overall!$F$2:$F$1000,"&gt;"&amp;C107)+1)</f>
        <v/>
      </c>
      <c r="B107" s="11" t="str">
        <f aca="false">IFERROR(INDEX(Overall!$B$2:$B$1000,MATCH("GK|106",Overall!$I$2:$I$1000,0)),"")</f>
        <v/>
      </c>
      <c r="C107" s="19" t="str">
        <f aca="false">IFERROR(INDEX(Overall!$F$2:$F$1000,MATCH("GK|106",Overall!$I$2:$I$1000,0)),"")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IF(B108="","",COUNTIFS(Overall!$C$2:$C$1000,"GK",Overall!$F$2:$F$1000,"&gt;"&amp;C108)+1)</f>
        <v/>
      </c>
      <c r="B108" s="11" t="str">
        <f aca="false">IFERROR(INDEX(Overall!$B$2:$B$1000,MATCH("GK|107",Overall!$I$2:$I$1000,0)),"")</f>
        <v/>
      </c>
      <c r="C108" s="19" t="str">
        <f aca="false">IFERROR(INDEX(Overall!$F$2:$F$1000,MATCH("GK|107",Overall!$I$2:$I$1000,0)),"")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IF(B109="","",COUNTIFS(Overall!$C$2:$C$1000,"GK",Overall!$F$2:$F$1000,"&gt;"&amp;C109)+1)</f>
        <v/>
      </c>
      <c r="B109" s="11" t="str">
        <f aca="false">IFERROR(INDEX(Overall!$B$2:$B$1000,MATCH("GK|108",Overall!$I$2:$I$1000,0)),"")</f>
        <v/>
      </c>
      <c r="C109" s="19" t="str">
        <f aca="false">IFERROR(INDEX(Overall!$F$2:$F$1000,MATCH("GK|108",Overall!$I$2:$I$1000,0)),"")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IF(B110="","",COUNTIFS(Overall!$C$2:$C$1000,"GK",Overall!$F$2:$F$1000,"&gt;"&amp;C110)+1)</f>
        <v/>
      </c>
      <c r="B110" s="11" t="str">
        <f aca="false">IFERROR(INDEX(Overall!$B$2:$B$1000,MATCH("GK|109",Overall!$I$2:$I$1000,0)),"")</f>
        <v/>
      </c>
      <c r="C110" s="19" t="str">
        <f aca="false">IFERROR(INDEX(Overall!$F$2:$F$1000,MATCH("GK|109",Overall!$I$2:$I$1000,0)),"")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IF(B111="","",COUNTIFS(Overall!$C$2:$C$1000,"GK",Overall!$F$2:$F$1000,"&gt;"&amp;C111)+1)</f>
        <v/>
      </c>
      <c r="B111" s="11" t="str">
        <f aca="false">IFERROR(INDEX(Overall!$B$2:$B$1000,MATCH("GK|110",Overall!$I$2:$I$1000,0)),"")</f>
        <v/>
      </c>
      <c r="C111" s="19" t="str">
        <f aca="false">IFERROR(INDEX(Overall!$F$2:$F$1000,MATCH("GK|110",Overall!$I$2:$I$1000,0)),"")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IF(B112="","",COUNTIFS(Overall!$C$2:$C$1000,"GK",Overall!$F$2:$F$1000,"&gt;"&amp;C112)+1)</f>
        <v/>
      </c>
      <c r="B112" s="11" t="str">
        <f aca="false">IFERROR(INDEX(Overall!$B$2:$B$1000,MATCH("GK|111",Overall!$I$2:$I$1000,0)),"")</f>
        <v/>
      </c>
      <c r="C112" s="19" t="str">
        <f aca="false">IFERROR(INDEX(Overall!$F$2:$F$1000,MATCH("GK|111",Overall!$I$2:$I$1000,0)),"")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IF(B113="","",COUNTIFS(Overall!$C$2:$C$1000,"GK",Overall!$F$2:$F$1000,"&gt;"&amp;C113)+1)</f>
        <v/>
      </c>
      <c r="B113" s="11" t="str">
        <f aca="false">IFERROR(INDEX(Overall!$B$2:$B$1000,MATCH("GK|112",Overall!$I$2:$I$1000,0)),"")</f>
        <v/>
      </c>
      <c r="C113" s="19" t="str">
        <f aca="false">IFERROR(INDEX(Overall!$F$2:$F$1000,MATCH("GK|112",Overall!$I$2:$I$1000,0)),"")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IF(B114="","",COUNTIFS(Overall!$C$2:$C$1000,"GK",Overall!$F$2:$F$1000,"&gt;"&amp;C114)+1)</f>
        <v/>
      </c>
      <c r="B114" s="11" t="str">
        <f aca="false">IFERROR(INDEX(Overall!$B$2:$B$1000,MATCH("GK|113",Overall!$I$2:$I$1000,0)),"")</f>
        <v/>
      </c>
      <c r="C114" s="19" t="str">
        <f aca="false">IFERROR(INDEX(Overall!$F$2:$F$1000,MATCH("GK|113",Overall!$I$2:$I$1000,0)),"")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IF(B115="","",COUNTIFS(Overall!$C$2:$C$1000,"GK",Overall!$F$2:$F$1000,"&gt;"&amp;C115)+1)</f>
        <v/>
      </c>
      <c r="B115" s="11" t="str">
        <f aca="false">IFERROR(INDEX(Overall!$B$2:$B$1000,MATCH("GK|114",Overall!$I$2:$I$1000,0)),"")</f>
        <v/>
      </c>
      <c r="C115" s="19" t="str">
        <f aca="false">IFERROR(INDEX(Overall!$F$2:$F$1000,MATCH("GK|114",Overall!$I$2:$I$1000,0)),"")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IF(B116="","",COUNTIFS(Overall!$C$2:$C$1000,"GK",Overall!$F$2:$F$1000,"&gt;"&amp;C116)+1)</f>
        <v/>
      </c>
      <c r="B116" s="11" t="str">
        <f aca="false">IFERROR(INDEX(Overall!$B$2:$B$1000,MATCH("GK|115",Overall!$I$2:$I$1000,0)),"")</f>
        <v/>
      </c>
      <c r="C116" s="19" t="str">
        <f aca="false">IFERROR(INDEX(Overall!$F$2:$F$1000,MATCH("GK|115",Overall!$I$2:$I$1000,0)),"")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IF(B117="","",COUNTIFS(Overall!$C$2:$C$1000,"GK",Overall!$F$2:$F$1000,"&gt;"&amp;C117)+1)</f>
        <v/>
      </c>
      <c r="B117" s="11" t="str">
        <f aca="false">IFERROR(INDEX(Overall!$B$2:$B$1000,MATCH("GK|116",Overall!$I$2:$I$1000,0)),"")</f>
        <v/>
      </c>
      <c r="C117" s="19" t="str">
        <f aca="false">IFERROR(INDEX(Overall!$F$2:$F$1000,MATCH("GK|116",Overall!$I$2:$I$1000,0)),"")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IF(B118="","",COUNTIFS(Overall!$C$2:$C$1000,"GK",Overall!$F$2:$F$1000,"&gt;"&amp;C118)+1)</f>
        <v/>
      </c>
      <c r="B118" s="11" t="str">
        <f aca="false">IFERROR(INDEX(Overall!$B$2:$B$1000,MATCH("GK|117",Overall!$I$2:$I$1000,0)),"")</f>
        <v/>
      </c>
      <c r="C118" s="19" t="str">
        <f aca="false">IFERROR(INDEX(Overall!$F$2:$F$1000,MATCH("GK|117",Overall!$I$2:$I$1000,0)),"")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IF(B119="","",COUNTIFS(Overall!$C$2:$C$1000,"GK",Overall!$F$2:$F$1000,"&gt;"&amp;C119)+1)</f>
        <v/>
      </c>
      <c r="B119" s="11" t="str">
        <f aca="false">IFERROR(INDEX(Overall!$B$2:$B$1000,MATCH("GK|118",Overall!$I$2:$I$1000,0)),"")</f>
        <v/>
      </c>
      <c r="C119" s="19" t="str">
        <f aca="false">IFERROR(INDEX(Overall!$F$2:$F$1000,MATCH("GK|118",Overall!$I$2:$I$1000,0)),"")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IF(B120="","",COUNTIFS(Overall!$C$2:$C$1000,"GK",Overall!$F$2:$F$1000,"&gt;"&amp;C120)+1)</f>
        <v/>
      </c>
      <c r="B120" s="11" t="str">
        <f aca="false">IFERROR(INDEX(Overall!$B$2:$B$1000,MATCH("GK|119",Overall!$I$2:$I$1000,0)),"")</f>
        <v/>
      </c>
      <c r="C120" s="19" t="str">
        <f aca="false">IFERROR(INDEX(Overall!$F$2:$F$1000,MATCH("GK|119",Overall!$I$2:$I$1000,0)),"")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IF(B121="","",COUNTIFS(Overall!$C$2:$C$1000,"GK",Overall!$F$2:$F$1000,"&gt;"&amp;C121)+1)</f>
        <v/>
      </c>
      <c r="B121" s="11" t="str">
        <f aca="false">IFERROR(INDEX(Overall!$B$2:$B$1000,MATCH("GK|120",Overall!$I$2:$I$1000,0)),"")</f>
        <v/>
      </c>
      <c r="C121" s="19" t="str">
        <f aca="false">IFERROR(INDEX(Overall!$F$2:$F$1000,MATCH("GK|120",Overall!$I$2:$I$1000,0)),"")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IF(B122="","",COUNTIFS(Overall!$C$2:$C$1000,"GK",Overall!$F$2:$F$1000,"&gt;"&amp;C122)+1)</f>
        <v/>
      </c>
      <c r="B122" s="11" t="str">
        <f aca="false">IFERROR(INDEX(Overall!$B$2:$B$1000,MATCH("GK|121",Overall!$I$2:$I$1000,0)),"")</f>
        <v/>
      </c>
      <c r="C122" s="19" t="str">
        <f aca="false">IFERROR(INDEX(Overall!$F$2:$F$1000,MATCH("GK|121",Overall!$I$2:$I$1000,0)),"")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IF(B123="","",COUNTIFS(Overall!$C$2:$C$1000,"GK",Overall!$F$2:$F$1000,"&gt;"&amp;C123)+1)</f>
        <v/>
      </c>
      <c r="B123" s="11" t="str">
        <f aca="false">IFERROR(INDEX(Overall!$B$2:$B$1000,MATCH("GK|122",Overall!$I$2:$I$1000,0)),"")</f>
        <v/>
      </c>
      <c r="C123" s="19" t="str">
        <f aca="false">IFERROR(INDEX(Overall!$F$2:$F$1000,MATCH("GK|122",Overall!$I$2:$I$1000,0)),"")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IF(B124="","",COUNTIFS(Overall!$C$2:$C$1000,"GK",Overall!$F$2:$F$1000,"&gt;"&amp;C124)+1)</f>
        <v/>
      </c>
      <c r="B124" s="11" t="str">
        <f aca="false">IFERROR(INDEX(Overall!$B$2:$B$1000,MATCH("GK|123",Overall!$I$2:$I$1000,0)),"")</f>
        <v/>
      </c>
      <c r="C124" s="19" t="str">
        <f aca="false">IFERROR(INDEX(Overall!$F$2:$F$1000,MATCH("GK|123",Overall!$I$2:$I$1000,0)),"")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IF(B125="","",COUNTIFS(Overall!$C$2:$C$1000,"GK",Overall!$F$2:$F$1000,"&gt;"&amp;C125)+1)</f>
        <v/>
      </c>
      <c r="B125" s="11" t="str">
        <f aca="false">IFERROR(INDEX(Overall!$B$2:$B$1000,MATCH("GK|124",Overall!$I$2:$I$1000,0)),"")</f>
        <v/>
      </c>
      <c r="C125" s="19" t="str">
        <f aca="false">IFERROR(INDEX(Overall!$F$2:$F$1000,MATCH("GK|124",Overall!$I$2:$I$1000,0)),"")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IF(B126="","",COUNTIFS(Overall!$C$2:$C$1000,"GK",Overall!$F$2:$F$1000,"&gt;"&amp;C126)+1)</f>
        <v/>
      </c>
      <c r="B126" s="11" t="str">
        <f aca="false">IFERROR(INDEX(Overall!$B$2:$B$1000,MATCH("GK|125",Overall!$I$2:$I$1000,0)),"")</f>
        <v/>
      </c>
      <c r="C126" s="19" t="str">
        <f aca="false">IFERROR(INDEX(Overall!$F$2:$F$1000,MATCH("GK|125",Overall!$I$2:$I$1000,0)),"")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IF(B127="","",COUNTIFS(Overall!$C$2:$C$1000,"GK",Overall!$F$2:$F$1000,"&gt;"&amp;C127)+1)</f>
        <v/>
      </c>
      <c r="B127" s="11" t="str">
        <f aca="false">IFERROR(INDEX(Overall!$B$2:$B$1000,MATCH("GK|126",Overall!$I$2:$I$1000,0)),"")</f>
        <v/>
      </c>
      <c r="C127" s="19" t="str">
        <f aca="false">IFERROR(INDEX(Overall!$F$2:$F$1000,MATCH("GK|126",Overall!$I$2:$I$1000,0)),"")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IF(B128="","",COUNTIFS(Overall!$C$2:$C$1000,"GK",Overall!$F$2:$F$1000,"&gt;"&amp;C128)+1)</f>
        <v/>
      </c>
      <c r="B128" s="11" t="str">
        <f aca="false">IFERROR(INDEX(Overall!$B$2:$B$1000,MATCH("GK|127",Overall!$I$2:$I$1000,0)),"")</f>
        <v/>
      </c>
      <c r="C128" s="19" t="str">
        <f aca="false">IFERROR(INDEX(Overall!$F$2:$F$1000,MATCH("GK|127",Overall!$I$2:$I$1000,0)),"")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IF(B129="","",COUNTIFS(Overall!$C$2:$C$1000,"GK",Overall!$F$2:$F$1000,"&gt;"&amp;C129)+1)</f>
        <v/>
      </c>
      <c r="B129" s="11" t="str">
        <f aca="false">IFERROR(INDEX(Overall!$B$2:$B$1000,MATCH("GK|128",Overall!$I$2:$I$1000,0)),"")</f>
        <v/>
      </c>
      <c r="C129" s="19" t="str">
        <f aca="false">IFERROR(INDEX(Overall!$F$2:$F$1000,MATCH("GK|128",Overall!$I$2:$I$1000,0)),"")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IF(B130="","",COUNTIFS(Overall!$C$2:$C$1000,"GK",Overall!$F$2:$F$1000,"&gt;"&amp;C130)+1)</f>
        <v/>
      </c>
      <c r="B130" s="11" t="str">
        <f aca="false">IFERROR(INDEX(Overall!$B$2:$B$1000,MATCH("GK|129",Overall!$I$2:$I$1000,0)),"")</f>
        <v/>
      </c>
      <c r="C130" s="19" t="str">
        <f aca="false">IFERROR(INDEX(Overall!$F$2:$F$1000,MATCH("GK|129",Overall!$I$2:$I$1000,0)),"")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IF(B131="","",COUNTIFS(Overall!$C$2:$C$1000,"GK",Overall!$F$2:$F$1000,"&gt;"&amp;C131)+1)</f>
        <v/>
      </c>
      <c r="B131" s="11" t="str">
        <f aca="false">IFERROR(INDEX(Overall!$B$2:$B$1000,MATCH("GK|130",Overall!$I$2:$I$1000,0)),"")</f>
        <v/>
      </c>
      <c r="C131" s="19" t="str">
        <f aca="false">IFERROR(INDEX(Overall!$F$2:$F$1000,MATCH("GK|130",Overall!$I$2:$I$1000,0)),"")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IF(B132="","",COUNTIFS(Overall!$C$2:$C$1000,"GK",Overall!$F$2:$F$1000,"&gt;"&amp;C132)+1)</f>
        <v/>
      </c>
      <c r="B132" s="11" t="str">
        <f aca="false">IFERROR(INDEX(Overall!$B$2:$B$1000,MATCH("GK|131",Overall!$I$2:$I$1000,0)),"")</f>
        <v/>
      </c>
      <c r="C132" s="19" t="str">
        <f aca="false">IFERROR(INDEX(Overall!$F$2:$F$1000,MATCH("GK|131",Overall!$I$2:$I$1000,0)),"")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IF(B133="","",COUNTIFS(Overall!$C$2:$C$1000,"GK",Overall!$F$2:$F$1000,"&gt;"&amp;C133)+1)</f>
        <v/>
      </c>
      <c r="B133" s="11" t="str">
        <f aca="false">IFERROR(INDEX(Overall!$B$2:$B$1000,MATCH("GK|132",Overall!$I$2:$I$1000,0)),"")</f>
        <v/>
      </c>
      <c r="C133" s="19" t="str">
        <f aca="false">IFERROR(INDEX(Overall!$F$2:$F$1000,MATCH("GK|132",Overall!$I$2:$I$1000,0)),"")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IF(B134="","",COUNTIFS(Overall!$C$2:$C$1000,"GK",Overall!$F$2:$F$1000,"&gt;"&amp;C134)+1)</f>
        <v/>
      </c>
      <c r="B134" s="11" t="str">
        <f aca="false">IFERROR(INDEX(Overall!$B$2:$B$1000,MATCH("GK|133",Overall!$I$2:$I$1000,0)),"")</f>
        <v/>
      </c>
      <c r="C134" s="19" t="str">
        <f aca="false">IFERROR(INDEX(Overall!$F$2:$F$1000,MATCH("GK|133",Overall!$I$2:$I$1000,0)),"")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IF(B135="","",COUNTIFS(Overall!$C$2:$C$1000,"GK",Overall!$F$2:$F$1000,"&gt;"&amp;C135)+1)</f>
        <v/>
      </c>
      <c r="B135" s="11" t="str">
        <f aca="false">IFERROR(INDEX(Overall!$B$2:$B$1000,MATCH("GK|134",Overall!$I$2:$I$1000,0)),"")</f>
        <v/>
      </c>
      <c r="C135" s="19" t="str">
        <f aca="false">IFERROR(INDEX(Overall!$F$2:$F$1000,MATCH("GK|134",Overall!$I$2:$I$1000,0)),"")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IF(B136="","",COUNTIFS(Overall!$C$2:$C$1000,"GK",Overall!$F$2:$F$1000,"&gt;"&amp;C136)+1)</f>
        <v/>
      </c>
      <c r="B136" s="11" t="str">
        <f aca="false">IFERROR(INDEX(Overall!$B$2:$B$1000,MATCH("GK|135",Overall!$I$2:$I$1000,0)),"")</f>
        <v/>
      </c>
      <c r="C136" s="19" t="str">
        <f aca="false">IFERROR(INDEX(Overall!$F$2:$F$1000,MATCH("GK|135",Overall!$I$2:$I$1000,0)),"")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IF(B137="","",COUNTIFS(Overall!$C$2:$C$1000,"GK",Overall!$F$2:$F$1000,"&gt;"&amp;C137)+1)</f>
        <v/>
      </c>
      <c r="B137" s="11" t="str">
        <f aca="false">IFERROR(INDEX(Overall!$B$2:$B$1000,MATCH("GK|136",Overall!$I$2:$I$1000,0)),"")</f>
        <v/>
      </c>
      <c r="C137" s="19" t="str">
        <f aca="false">IFERROR(INDEX(Overall!$F$2:$F$1000,MATCH("GK|136",Overall!$I$2:$I$1000,0)),"")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IF(B138="","",COUNTIFS(Overall!$C$2:$C$1000,"GK",Overall!$F$2:$F$1000,"&gt;"&amp;C138)+1)</f>
        <v/>
      </c>
      <c r="B138" s="11" t="str">
        <f aca="false">IFERROR(INDEX(Overall!$B$2:$B$1000,MATCH("GK|137",Overall!$I$2:$I$1000,0)),"")</f>
        <v/>
      </c>
      <c r="C138" s="19" t="str">
        <f aca="false">IFERROR(INDEX(Overall!$F$2:$F$1000,MATCH("GK|137",Overall!$I$2:$I$1000,0)),"")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IF(B139="","",COUNTIFS(Overall!$C$2:$C$1000,"GK",Overall!$F$2:$F$1000,"&gt;"&amp;C139)+1)</f>
        <v/>
      </c>
      <c r="B139" s="11" t="str">
        <f aca="false">IFERROR(INDEX(Overall!$B$2:$B$1000,MATCH("GK|138",Overall!$I$2:$I$1000,0)),"")</f>
        <v/>
      </c>
      <c r="C139" s="19" t="str">
        <f aca="false">IFERROR(INDEX(Overall!$F$2:$F$1000,MATCH("GK|138",Overall!$I$2:$I$1000,0)),"")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IF(B140="","",COUNTIFS(Overall!$C$2:$C$1000,"GK",Overall!$F$2:$F$1000,"&gt;"&amp;C140)+1)</f>
        <v/>
      </c>
      <c r="B140" s="11" t="str">
        <f aca="false">IFERROR(INDEX(Overall!$B$2:$B$1000,MATCH("GK|139",Overall!$I$2:$I$1000,0)),"")</f>
        <v/>
      </c>
      <c r="C140" s="19" t="str">
        <f aca="false">IFERROR(INDEX(Overall!$F$2:$F$1000,MATCH("GK|139",Overall!$I$2:$I$1000,0)),"")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IF(B141="","",COUNTIFS(Overall!$C$2:$C$1000,"GK",Overall!$F$2:$F$1000,"&gt;"&amp;C141)+1)</f>
        <v/>
      </c>
      <c r="B141" s="11" t="str">
        <f aca="false">IFERROR(INDEX(Overall!$B$2:$B$1000,MATCH("GK|140",Overall!$I$2:$I$1000,0)),"")</f>
        <v/>
      </c>
      <c r="C141" s="19" t="str">
        <f aca="false">IFERROR(INDEX(Overall!$F$2:$F$1000,MATCH("GK|140",Overall!$I$2:$I$1000,0)),"")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IF(B142="","",COUNTIFS(Overall!$C$2:$C$1000,"GK",Overall!$F$2:$F$1000,"&gt;"&amp;C142)+1)</f>
        <v/>
      </c>
      <c r="B142" s="11" t="str">
        <f aca="false">IFERROR(INDEX(Overall!$B$2:$B$1000,MATCH("GK|141",Overall!$I$2:$I$1000,0)),"")</f>
        <v/>
      </c>
      <c r="C142" s="19" t="str">
        <f aca="false">IFERROR(INDEX(Overall!$F$2:$F$1000,MATCH("GK|141",Overall!$I$2:$I$1000,0)),"")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IF(B143="","",COUNTIFS(Overall!$C$2:$C$1000,"GK",Overall!$F$2:$F$1000,"&gt;"&amp;C143)+1)</f>
        <v/>
      </c>
      <c r="B143" s="11" t="str">
        <f aca="false">IFERROR(INDEX(Overall!$B$2:$B$1000,MATCH("GK|142",Overall!$I$2:$I$1000,0)),"")</f>
        <v/>
      </c>
      <c r="C143" s="19" t="str">
        <f aca="false">IFERROR(INDEX(Overall!$F$2:$F$1000,MATCH("GK|142",Overall!$I$2:$I$1000,0)),"")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IF(B144="","",COUNTIFS(Overall!$C$2:$C$1000,"GK",Overall!$F$2:$F$1000,"&gt;"&amp;C144)+1)</f>
        <v/>
      </c>
      <c r="B144" s="11" t="str">
        <f aca="false">IFERROR(INDEX(Overall!$B$2:$B$1000,MATCH("GK|143",Overall!$I$2:$I$1000,0)),"")</f>
        <v/>
      </c>
      <c r="C144" s="19" t="str">
        <f aca="false">IFERROR(INDEX(Overall!$F$2:$F$1000,MATCH("GK|143",Overall!$I$2:$I$1000,0)),"")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IF(B145="","",COUNTIFS(Overall!$C$2:$C$1000,"GK",Overall!$F$2:$F$1000,"&gt;"&amp;C145)+1)</f>
        <v/>
      </c>
      <c r="B145" s="11" t="str">
        <f aca="false">IFERROR(INDEX(Overall!$B$2:$B$1000,MATCH("GK|144",Overall!$I$2:$I$1000,0)),"")</f>
        <v/>
      </c>
      <c r="C145" s="19" t="str">
        <f aca="false">IFERROR(INDEX(Overall!$F$2:$F$1000,MATCH("GK|144",Overall!$I$2:$I$1000,0)),"")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IF(B146="","",COUNTIFS(Overall!$C$2:$C$1000,"GK",Overall!$F$2:$F$1000,"&gt;"&amp;C146)+1)</f>
        <v/>
      </c>
      <c r="B146" s="11" t="str">
        <f aca="false">IFERROR(INDEX(Overall!$B$2:$B$1000,MATCH("GK|145",Overall!$I$2:$I$1000,0)),"")</f>
        <v/>
      </c>
      <c r="C146" s="19" t="str">
        <f aca="false">IFERROR(INDEX(Overall!$F$2:$F$1000,MATCH("GK|145",Overall!$I$2:$I$1000,0)),"")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IF(B147="","",COUNTIFS(Overall!$C$2:$C$1000,"GK",Overall!$F$2:$F$1000,"&gt;"&amp;C147)+1)</f>
        <v/>
      </c>
      <c r="B147" s="11" t="str">
        <f aca="false">IFERROR(INDEX(Overall!$B$2:$B$1000,MATCH("GK|146",Overall!$I$2:$I$1000,0)),"")</f>
        <v/>
      </c>
      <c r="C147" s="19" t="str">
        <f aca="false">IFERROR(INDEX(Overall!$F$2:$F$1000,MATCH("GK|146",Overall!$I$2:$I$1000,0)),"")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IF(B148="","",COUNTIFS(Overall!$C$2:$C$1000,"GK",Overall!$F$2:$F$1000,"&gt;"&amp;C148)+1)</f>
        <v/>
      </c>
      <c r="B148" s="11" t="str">
        <f aca="false">IFERROR(INDEX(Overall!$B$2:$B$1000,MATCH("GK|147",Overall!$I$2:$I$1000,0)),"")</f>
        <v/>
      </c>
      <c r="C148" s="19" t="str">
        <f aca="false">IFERROR(INDEX(Overall!$F$2:$F$1000,MATCH("GK|147",Overall!$I$2:$I$1000,0)),"")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IF(B149="","",COUNTIFS(Overall!$C$2:$C$1000,"GK",Overall!$F$2:$F$1000,"&gt;"&amp;C149)+1)</f>
        <v/>
      </c>
      <c r="B149" s="11" t="str">
        <f aca="false">IFERROR(INDEX(Overall!$B$2:$B$1000,MATCH("GK|148",Overall!$I$2:$I$1000,0)),"")</f>
        <v/>
      </c>
      <c r="C149" s="19" t="str">
        <f aca="false">IFERROR(INDEX(Overall!$F$2:$F$1000,MATCH("GK|148",Overall!$I$2:$I$1000,0)),"")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IF(B150="","",COUNTIFS(Overall!$C$2:$C$1000,"GK",Overall!$F$2:$F$1000,"&gt;"&amp;C150)+1)</f>
        <v/>
      </c>
      <c r="B150" s="11" t="str">
        <f aca="false">IFERROR(INDEX(Overall!$B$2:$B$1000,MATCH("GK|149",Overall!$I$2:$I$1000,0)),"")</f>
        <v/>
      </c>
      <c r="C150" s="19" t="str">
        <f aca="false">IFERROR(INDEX(Overall!$F$2:$F$1000,MATCH("GK|149",Overall!$I$2:$I$1000,0)),"")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IF(B151="","",COUNTIFS(Overall!$C$2:$C$1000,"GK",Overall!$F$2:$F$1000,"&gt;"&amp;C151)+1)</f>
        <v/>
      </c>
      <c r="B151" s="11" t="str">
        <f aca="false">IFERROR(INDEX(Overall!$B$2:$B$1000,MATCH("GK|150",Overall!$I$2:$I$1000,0)),"")</f>
        <v/>
      </c>
      <c r="C151" s="19" t="str">
        <f aca="false">IFERROR(INDEX(Overall!$F$2:$F$1000,MATCH("GK|150",Overall!$I$2:$I$1000,0)),"")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E4F0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IF(B2="","",COUNTIFS(Overall!$C$2:$C$1000,"CB",Overall!$F$2:$F$1000,"&gt;"&amp;C2)+1)</f>
        <v>1</v>
      </c>
      <c r="B2" s="11" t="str">
        <f aca="false">IFERROR(INDEX(Overall!$B$2:$B$1000,MATCH("CB|1",Overall!$I$2:$I$1000,0)),"")</f>
        <v>Android 16</v>
      </c>
      <c r="C2" s="19" t="n">
        <f aca="false">IFERROR(INDEX(Overall!$F$2:$F$1000,MATCH("CB|1",Overall!$I$2:$I$1000,0)),"")</f>
        <v>100</v>
      </c>
    </row>
    <row r="3" customFormat="false" ht="15" hidden="false" customHeight="false" outlineLevel="0" collapsed="false">
      <c r="A3" s="22" t="n">
        <f aca="false">IF(B3="","",COUNTIFS(Overall!$C$2:$C$1000,"CB",Overall!$F$2:$F$1000,"&gt;"&amp;C3)+1)</f>
        <v>2</v>
      </c>
      <c r="B3" s="11" t="str">
        <f aca="false">IFERROR(INDEX(Overall!$B$2:$B$1000,MATCH("CB|2",Overall!$I$2:$I$1000,0)),"")</f>
        <v>Battle beast</v>
      </c>
      <c r="C3" s="19" t="n">
        <f aca="false">IFERROR(INDEX(Overall!$F$2:$F$1000,MATCH("CB|2",Overall!$I$2:$I$1000,0)),"")</f>
        <v>98</v>
      </c>
    </row>
    <row r="4" customFormat="false" ht="15" hidden="false" customHeight="false" outlineLevel="0" collapsed="false">
      <c r="A4" s="22" t="n">
        <f aca="false">IF(B4="","",COUNTIFS(Overall!$C$2:$C$1000,"CB",Overall!$F$2:$F$1000,"&gt;"&amp;C4)+1)</f>
        <v>2</v>
      </c>
      <c r="B4" s="11" t="str">
        <f aca="false">IFERROR(INDEX(Overall!$B$2:$B$1000,MATCH("CB|3",Overall!$I$2:$I$1000,0)),"")</f>
        <v>Tom T Rosa</v>
      </c>
      <c r="C4" s="19" t="n">
        <f aca="false">IFERROR(INDEX(Overall!$F$2:$F$1000,MATCH("CB|3",Overall!$I$2:$I$1000,0)),"")</f>
        <v>98</v>
      </c>
    </row>
    <row r="5" customFormat="false" ht="15" hidden="false" customHeight="false" outlineLevel="0" collapsed="false">
      <c r="A5" s="22" t="n">
        <f aca="false">IF(B5="","",COUNTIFS(Overall!$C$2:$C$1000,"CB",Overall!$F$2:$F$1000,"&gt;"&amp;C5)+1)</f>
        <v>4</v>
      </c>
      <c r="B5" s="11" t="str">
        <f aca="false">IFERROR(INDEX(Overall!$B$2:$B$1000,MATCH("CB|4",Overall!$I$2:$I$1000,0)),"")</f>
        <v>Papa monkey</v>
      </c>
      <c r="C5" s="19" t="n">
        <f aca="false">IFERROR(INDEX(Overall!$F$2:$F$1000,MATCH("CB|4",Overall!$I$2:$I$1000,0)),"")</f>
        <v>95</v>
      </c>
    </row>
    <row r="6" customFormat="false" ht="15" hidden="false" customHeight="false" outlineLevel="0" collapsed="false">
      <c r="A6" s="22" t="n">
        <f aca="false">IF(B6="","",COUNTIFS(Overall!$C$2:$C$1000,"CB",Overall!$F$2:$F$1000,"&gt;"&amp;C6)+1)</f>
        <v>4</v>
      </c>
      <c r="B6" s="11" t="str">
        <f aca="false">IFERROR(INDEX(Overall!$B$2:$B$1000,MATCH("CB|5",Overall!$I$2:$I$1000,0)),"")</f>
        <v>Skips</v>
      </c>
      <c r="C6" s="19" t="n">
        <f aca="false">IFERROR(INDEX(Overall!$F$2:$F$1000,MATCH("CB|5",Overall!$I$2:$I$1000,0)),"")</f>
        <v>95</v>
      </c>
    </row>
    <row r="7" customFormat="false" ht="15" hidden="false" customHeight="false" outlineLevel="0" collapsed="false">
      <c r="A7" s="22" t="n">
        <f aca="false">IF(B7="","",COUNTIFS(Overall!$C$2:$C$1000,"CB",Overall!$F$2:$F$1000,"&gt;"&amp;C7)+1)</f>
        <v>6</v>
      </c>
      <c r="B7" s="11" t="str">
        <f aca="false">IFERROR(INDEX(Overall!$B$2:$B$1000,MATCH("CB|6",Overall!$I$2:$I$1000,0)),"")</f>
        <v>Volpescu</v>
      </c>
      <c r="C7" s="19" t="n">
        <f aca="false">IFERROR(INDEX(Overall!$F$2:$F$1000,MATCH("CB|6",Overall!$I$2:$I$1000,0)),"")</f>
        <v>93</v>
      </c>
    </row>
    <row r="8" customFormat="false" ht="15" hidden="false" customHeight="false" outlineLevel="0" collapsed="false">
      <c r="A8" s="22" t="n">
        <f aca="false">IF(B8="","",COUNTIFS(Overall!$C$2:$C$1000,"CB",Overall!$F$2:$F$1000,"&gt;"&amp;C8)+1)</f>
        <v>6</v>
      </c>
      <c r="B8" s="11" t="str">
        <f aca="false">IFERROR(INDEX(Overall!$B$2:$B$1000,MATCH("CB|7",Overall!$I$2:$I$1000,0)),"")</f>
        <v>Endeavor</v>
      </c>
      <c r="C8" s="19" t="n">
        <f aca="false">IFERROR(INDEX(Overall!$F$2:$F$1000,MATCH("CB|7",Overall!$I$2:$I$1000,0)),"")</f>
        <v>93</v>
      </c>
    </row>
    <row r="9" customFormat="false" ht="15" hidden="false" customHeight="false" outlineLevel="0" collapsed="false">
      <c r="A9" s="22" t="n">
        <f aca="false">IF(B9="","",COUNTIFS(Overall!$C$2:$C$1000,"CB",Overall!$F$2:$F$1000,"&gt;"&amp;C9)+1)</f>
        <v>8</v>
      </c>
      <c r="B9" s="11" t="str">
        <f aca="false">IFERROR(INDEX(Overall!$B$2:$B$1000,MATCH("CB|8",Overall!$I$2:$I$1000,0)),"")</f>
        <v>Tommo</v>
      </c>
      <c r="C9" s="19" t="n">
        <f aca="false">IFERROR(INDEX(Overall!$F$2:$F$1000,MATCH("CB|8",Overall!$I$2:$I$1000,0)),"")</f>
        <v>92</v>
      </c>
    </row>
    <row r="10" customFormat="false" ht="15" hidden="false" customHeight="false" outlineLevel="0" collapsed="false">
      <c r="A10" s="22" t="n">
        <f aca="false">IF(B10="","",COUNTIFS(Overall!$C$2:$C$1000,"CB",Overall!$F$2:$F$1000,"&gt;"&amp;C10)+1)</f>
        <v>9</v>
      </c>
      <c r="B10" s="11" t="str">
        <f aca="false">IFERROR(INDEX(Overall!$B$2:$B$1000,MATCH("CB|9",Overall!$I$2:$I$1000,0)),"")</f>
        <v>Bartholomew Kuma</v>
      </c>
      <c r="C10" s="19" t="n">
        <f aca="false">IFERROR(INDEX(Overall!$F$2:$F$1000,MATCH("CB|9",Overall!$I$2:$I$1000,0)),"")</f>
        <v>91</v>
      </c>
    </row>
    <row r="11" customFormat="false" ht="15" hidden="false" customHeight="false" outlineLevel="0" collapsed="false">
      <c r="A11" s="22" t="n">
        <f aca="false">IF(B11="","",COUNTIFS(Overall!$C$2:$C$1000,"CB",Overall!$F$2:$F$1000,"&gt;"&amp;C11)+1)</f>
        <v>9</v>
      </c>
      <c r="B11" s="11" t="str">
        <f aca="false">IFERROR(INDEX(Overall!$B$2:$B$1000,MATCH("CB|10",Overall!$I$2:$I$1000,0)),"")</f>
        <v>Sullivan</v>
      </c>
      <c r="C11" s="19" t="n">
        <f aca="false">IFERROR(INDEX(Overall!$F$2:$F$1000,MATCH("CB|10",Overall!$I$2:$I$1000,0)),"")</f>
        <v>91</v>
      </c>
    </row>
    <row r="12" customFormat="false" ht="15" hidden="false" customHeight="false" outlineLevel="0" collapsed="false">
      <c r="A12" s="22" t="n">
        <f aca="false">IF(B12="","",COUNTIFS(Overall!$C$2:$C$1000,"CB",Overall!$F$2:$F$1000,"&gt;"&amp;C12)+1)</f>
        <v>9</v>
      </c>
      <c r="B12" s="11" t="str">
        <f aca="false">IFERROR(INDEX(Overall!$B$2:$B$1000,MATCH("CB|11",Overall!$I$2:$I$1000,0)),"")</f>
        <v>Nico pertici</v>
      </c>
      <c r="C12" s="19" t="n">
        <f aca="false">IFERROR(INDEX(Overall!$F$2:$F$1000,MATCH("CB|11",Overall!$I$2:$I$1000,0)),"")</f>
        <v>91</v>
      </c>
    </row>
    <row r="13" customFormat="false" ht="15" hidden="false" customHeight="false" outlineLevel="0" collapsed="false">
      <c r="A13" s="22" t="n">
        <f aca="false">IF(B13="","",COUNTIFS(Overall!$C$2:$C$1000,"CB",Overall!$F$2:$F$1000,"&gt;"&amp;C13)+1)</f>
        <v>9</v>
      </c>
      <c r="B13" s="11" t="str">
        <f aca="false">IFERROR(INDEX(Overall!$B$2:$B$1000,MATCH("CB|12",Overall!$I$2:$I$1000,0)),"")</f>
        <v>Zanghief</v>
      </c>
      <c r="C13" s="19" t="n">
        <f aca="false">IFERROR(INDEX(Overall!$F$2:$F$1000,MATCH("CB|12",Overall!$I$2:$I$1000,0)),"")</f>
        <v>91</v>
      </c>
    </row>
    <row r="14" customFormat="false" ht="15" hidden="false" customHeight="false" outlineLevel="0" collapsed="false">
      <c r="A14" s="22" t="n">
        <f aca="false">IF(B14="","",COUNTIFS(Overall!$C$2:$C$1000,"CB",Overall!$F$2:$F$1000,"&gt;"&amp;C14)+1)</f>
        <v>13</v>
      </c>
      <c r="B14" s="11" t="str">
        <f aca="false">IFERROR(INDEX(Overall!$B$2:$B$1000,MATCH("CB|13",Overall!$I$2:$I$1000,0)),"")</f>
        <v>Nappa</v>
      </c>
      <c r="C14" s="19" t="n">
        <f aca="false">IFERROR(INDEX(Overall!$F$2:$F$1000,MATCH("CB|13",Overall!$I$2:$I$1000,0)),"")</f>
        <v>90</v>
      </c>
    </row>
    <row r="15" customFormat="false" ht="15" hidden="false" customHeight="false" outlineLevel="0" collapsed="false">
      <c r="A15" s="22" t="n">
        <f aca="false">IF(B15="","",COUNTIFS(Overall!$C$2:$C$1000,"CB",Overall!$F$2:$F$1000,"&gt;"&amp;C15)+1)</f>
        <v>14</v>
      </c>
      <c r="B15" s="11" t="str">
        <f aca="false">IFERROR(INDEX(Overall!$B$2:$B$1000,MATCH("CB|14",Overall!$I$2:$I$1000,0)),"")</f>
        <v>Selkie</v>
      </c>
      <c r="C15" s="19" t="n">
        <f aca="false">IFERROR(INDEX(Overall!$F$2:$F$1000,MATCH("CB|14",Overall!$I$2:$I$1000,0)),"")</f>
        <v>89</v>
      </c>
    </row>
    <row r="16" customFormat="false" ht="15" hidden="false" customHeight="false" outlineLevel="0" collapsed="false">
      <c r="A16" s="22" t="n">
        <f aca="false">IF(B16="","",COUNTIFS(Overall!$C$2:$C$1000,"CB",Overall!$F$2:$F$1000,"&gt;"&amp;C16)+1)</f>
        <v>15</v>
      </c>
      <c r="B16" s="11" t="str">
        <f aca="false">IFERROR(INDEX(Overall!$B$2:$B$1000,MATCH("CB|15",Overall!$I$2:$I$1000,0)),"")</f>
        <v>Chewbacca</v>
      </c>
      <c r="C16" s="19" t="n">
        <f aca="false">IFERROR(INDEX(Overall!$F$2:$F$1000,MATCH("CB|15",Overall!$I$2:$I$1000,0)),"")</f>
        <v>88</v>
      </c>
    </row>
    <row r="17" customFormat="false" ht="15" hidden="false" customHeight="false" outlineLevel="0" collapsed="false">
      <c r="A17" s="22" t="n">
        <f aca="false">IF(B17="","",COUNTIFS(Overall!$C$2:$C$1000,"CB",Overall!$F$2:$F$1000,"&gt;"&amp;C17)+1)</f>
        <v>15</v>
      </c>
      <c r="B17" s="11" t="str">
        <f aca="false">IFERROR(INDEX(Overall!$B$2:$B$1000,MATCH("CB|16",Overall!$I$2:$I$1000,0)),"")</f>
        <v>Seto Kaiba</v>
      </c>
      <c r="C17" s="19" t="n">
        <f aca="false">IFERROR(INDEX(Overall!$F$2:$F$1000,MATCH("CB|16",Overall!$I$2:$I$1000,0)),"")</f>
        <v>88</v>
      </c>
    </row>
    <row r="18" customFormat="false" ht="15" hidden="false" customHeight="false" outlineLevel="0" collapsed="false">
      <c r="A18" s="22" t="n">
        <f aca="false">IF(B18="","",COUNTIFS(Overall!$C$2:$C$1000,"CB",Overall!$F$2:$F$1000,"&gt;"&amp;C18)+1)</f>
        <v>17</v>
      </c>
      <c r="B18" s="11" t="str">
        <f aca="false">IFERROR(INDEX(Overall!$B$2:$B$1000,MATCH("CB|17",Overall!$I$2:$I$1000,0)),"")</f>
        <v>Diavolo</v>
      </c>
      <c r="C18" s="19" t="n">
        <f aca="false">IFERROR(INDEX(Overall!$F$2:$F$1000,MATCH("CB|17",Overall!$I$2:$I$1000,0)),"")</f>
        <v>87</v>
      </c>
    </row>
    <row r="19" customFormat="false" ht="15" hidden="false" customHeight="false" outlineLevel="0" collapsed="false">
      <c r="A19" s="22" t="n">
        <f aca="false">IF(B19="","",COUNTIFS(Overall!$C$2:$C$1000,"CB",Overall!$F$2:$F$1000,"&gt;"&amp;C19)+1)</f>
        <v>18</v>
      </c>
      <c r="B19" s="11" t="str">
        <f aca="false">IFERROR(INDEX(Overall!$B$2:$B$1000,MATCH("CB|18",Overall!$I$2:$I$1000,0)),"")</f>
        <v>Jozu</v>
      </c>
      <c r="C19" s="19" t="n">
        <f aca="false">IFERROR(INDEX(Overall!$F$2:$F$1000,MATCH("CB|18",Overall!$I$2:$I$1000,0)),"")</f>
        <v>86</v>
      </c>
    </row>
    <row r="20" customFormat="false" ht="15" hidden="false" customHeight="false" outlineLevel="0" collapsed="false">
      <c r="A20" s="22" t="n">
        <f aca="false">IF(B20="","",COUNTIFS(Overall!$C$2:$C$1000,"CB",Overall!$F$2:$F$1000,"&gt;"&amp;C20)+1)</f>
        <v>18</v>
      </c>
      <c r="B20" s="11" t="str">
        <f aca="false">IFERROR(INDEX(Overall!$B$2:$B$1000,MATCH("CB|19",Overall!$I$2:$I$1000,0)),"")</f>
        <v>Thor stoutberg</v>
      </c>
      <c r="C20" s="19" t="n">
        <f aca="false">IFERROR(INDEX(Overall!$F$2:$F$1000,MATCH("CB|19",Overall!$I$2:$I$1000,0)),"")</f>
        <v>86</v>
      </c>
    </row>
    <row r="21" customFormat="false" ht="15" hidden="false" customHeight="false" outlineLevel="0" collapsed="false">
      <c r="A21" s="22" t="n">
        <f aca="false">IF(B21="","",COUNTIFS(Overall!$C$2:$C$1000,"CB",Overall!$F$2:$F$1000,"&gt;"&amp;C21)+1)</f>
        <v>18</v>
      </c>
      <c r="B21" s="11" t="str">
        <f aca="false">IFERROR(INDEX(Overall!$B$2:$B$1000,MATCH("CB|20",Overall!$I$2:$I$1000,0)),"")</f>
        <v>Bull</v>
      </c>
      <c r="C21" s="19" t="n">
        <f aca="false">IFERROR(INDEX(Overall!$F$2:$F$1000,MATCH("CB|20",Overall!$I$2:$I$1000,0)),"")</f>
        <v>86</v>
      </c>
    </row>
    <row r="22" customFormat="false" ht="15" hidden="false" customHeight="false" outlineLevel="0" collapsed="false">
      <c r="A22" s="22" t="n">
        <f aca="false">IF(B22="","",COUNTIFS(Overall!$C$2:$C$1000,"CB",Overall!$F$2:$F$1000,"&gt;"&amp;C22)+1)</f>
        <v>18</v>
      </c>
      <c r="B22" s="11" t="str">
        <f aca="false">IFERROR(INDEX(Overall!$B$2:$B$1000,MATCH("CB|21",Overall!$I$2:$I$1000,0)),"")</f>
        <v>Eijiro</v>
      </c>
      <c r="C22" s="19" t="n">
        <f aca="false">IFERROR(INDEX(Overall!$F$2:$F$1000,MATCH("CB|21",Overall!$I$2:$I$1000,0)),"")</f>
        <v>86</v>
      </c>
    </row>
    <row r="23" customFormat="false" ht="15" hidden="false" customHeight="false" outlineLevel="0" collapsed="false">
      <c r="A23" s="22" t="n">
        <f aca="false">IF(B23="","",COUNTIFS(Overall!$C$2:$C$1000,"CB",Overall!$F$2:$F$1000,"&gt;"&amp;C23)+1)</f>
        <v>18</v>
      </c>
      <c r="B23" s="11" t="str">
        <f aca="false">IFERROR(INDEX(Overall!$B$2:$B$1000,MATCH("CB|22",Overall!$I$2:$I$1000,0)),"")</f>
        <v>Shrek</v>
      </c>
      <c r="C23" s="19" t="n">
        <f aca="false">IFERROR(INDEX(Overall!$F$2:$F$1000,MATCH("CB|22",Overall!$I$2:$I$1000,0)),"")</f>
        <v>86</v>
      </c>
    </row>
    <row r="24" customFormat="false" ht="15" hidden="false" customHeight="false" outlineLevel="0" collapsed="false">
      <c r="A24" s="22" t="n">
        <f aca="false">IF(B24="","",COUNTIFS(Overall!$C$2:$C$1000,"CB",Overall!$F$2:$F$1000,"&gt;"&amp;C24)+1)</f>
        <v>18</v>
      </c>
      <c r="B24" s="11" t="str">
        <f aca="false">IFERROR(INDEX(Overall!$B$2:$B$1000,MATCH("CB|23",Overall!$I$2:$I$1000,0)),"")</f>
        <v>Zamasu</v>
      </c>
      <c r="C24" s="19" t="n">
        <f aca="false">IFERROR(INDEX(Overall!$F$2:$F$1000,MATCH("CB|23",Overall!$I$2:$I$1000,0)),"")</f>
        <v>86</v>
      </c>
    </row>
    <row r="25" customFormat="false" ht="15" hidden="false" customHeight="false" outlineLevel="0" collapsed="false">
      <c r="A25" s="22" t="n">
        <f aca="false">IF(B25="","",COUNTIFS(Overall!$C$2:$C$1000,"CB",Overall!$F$2:$F$1000,"&gt;"&amp;C25)+1)</f>
        <v>18</v>
      </c>
      <c r="B25" s="11" t="str">
        <f aca="false">IFERROR(INDEX(Overall!$B$2:$B$1000,MATCH("CB|24",Overall!$I$2:$I$1000,0)),"")</f>
        <v>Wario</v>
      </c>
      <c r="C25" s="19" t="n">
        <f aca="false">IFERROR(INDEX(Overall!$F$2:$F$1000,MATCH("CB|24",Overall!$I$2:$I$1000,0)),"")</f>
        <v>86</v>
      </c>
    </row>
    <row r="26" customFormat="false" ht="15" hidden="false" customHeight="false" outlineLevel="0" collapsed="false">
      <c r="A26" s="22" t="n">
        <f aca="false">IF(B26="","",COUNTIFS(Overall!$C$2:$C$1000,"CB",Overall!$F$2:$F$1000,"&gt;"&amp;C26)+1)</f>
        <v>18</v>
      </c>
      <c r="B26" s="11" t="str">
        <f aca="false">IFERROR(INDEX(Overall!$B$2:$B$1000,MATCH("CB|25",Overall!$I$2:$I$1000,0)),"")</f>
        <v>Tien</v>
      </c>
      <c r="C26" s="19" t="n">
        <f aca="false">IFERROR(INDEX(Overall!$F$2:$F$1000,MATCH("CB|25",Overall!$I$2:$I$1000,0)),"")</f>
        <v>86</v>
      </c>
    </row>
    <row r="27" customFormat="false" ht="15" hidden="false" customHeight="false" outlineLevel="0" collapsed="false">
      <c r="A27" s="22" t="n">
        <f aca="false">IF(B27="","",COUNTIFS(Overall!$C$2:$C$1000,"CB",Overall!$F$2:$F$1000,"&gt;"&amp;C27)+1)</f>
        <v>18</v>
      </c>
      <c r="B27" s="11" t="str">
        <f aca="false">IFERROR(INDEX(Overall!$B$2:$B$1000,MATCH("CB|26",Overall!$I$2:$I$1000,0)),"")</f>
        <v>Cyborg</v>
      </c>
      <c r="C27" s="19" t="n">
        <f aca="false">IFERROR(INDEX(Overall!$F$2:$F$1000,MATCH("CB|26",Overall!$I$2:$I$1000,0)),"")</f>
        <v>86</v>
      </c>
    </row>
    <row r="28" customFormat="false" ht="15" hidden="false" customHeight="false" outlineLevel="0" collapsed="false">
      <c r="A28" s="22" t="n">
        <f aca="false">IF(B28="","",COUNTIFS(Overall!$C$2:$C$1000,"CB",Overall!$F$2:$F$1000,"&gt;"&amp;C28)+1)</f>
        <v>18</v>
      </c>
      <c r="B28" s="11" t="str">
        <f aca="false">IFERROR(INDEX(Overall!$B$2:$B$1000,MATCH("CB|27",Overall!$I$2:$I$1000,0)),"")</f>
        <v>Yusei Fudo</v>
      </c>
      <c r="C28" s="19" t="n">
        <f aca="false">IFERROR(INDEX(Overall!$F$2:$F$1000,MATCH("CB|27",Overall!$I$2:$I$1000,0)),"")</f>
        <v>86</v>
      </c>
    </row>
    <row r="29" customFormat="false" ht="15" hidden="false" customHeight="false" outlineLevel="0" collapsed="false">
      <c r="A29" s="22" t="n">
        <f aca="false">IF(B29="","",COUNTIFS(Overall!$C$2:$C$1000,"CB",Overall!$F$2:$F$1000,"&gt;"&amp;C29)+1)</f>
        <v>28</v>
      </c>
      <c r="B29" s="11" t="str">
        <f aca="false">IFERROR(INDEX(Overall!$B$2:$B$1000,MATCH("CB|28",Overall!$I$2:$I$1000,0)),"")</f>
        <v>The immortal</v>
      </c>
      <c r="C29" s="19" t="n">
        <f aca="false">IFERROR(INDEX(Overall!$F$2:$F$1000,MATCH("CB|28",Overall!$I$2:$I$1000,0)),"")</f>
        <v>85</v>
      </c>
    </row>
    <row r="30" customFormat="false" ht="15" hidden="false" customHeight="false" outlineLevel="0" collapsed="false">
      <c r="A30" s="22" t="n">
        <f aca="false">IF(B30="","",COUNTIFS(Overall!$C$2:$C$1000,"CB",Overall!$F$2:$F$1000,"&gt;"&amp;C30)+1)</f>
        <v>28</v>
      </c>
      <c r="B30" s="11" t="str">
        <f aca="false">IFERROR(INDEX(Overall!$B$2:$B$1000,MATCH("CB|29",Overall!$I$2:$I$1000,0)),"")</f>
        <v>Joseph joestar</v>
      </c>
      <c r="C30" s="19" t="n">
        <f aca="false">IFERROR(INDEX(Overall!$F$2:$F$1000,MATCH("CB|29",Overall!$I$2:$I$1000,0)),"")</f>
        <v>85</v>
      </c>
    </row>
    <row r="31" customFormat="false" ht="15" hidden="false" customHeight="false" outlineLevel="0" collapsed="false">
      <c r="A31" s="22" t="n">
        <f aca="false">IF(B31="","",COUNTIFS(Overall!$C$2:$C$1000,"CB",Overall!$F$2:$F$1000,"&gt;"&amp;C31)+1)</f>
        <v>28</v>
      </c>
      <c r="B31" s="11" t="str">
        <f aca="false">IFERROR(INDEX(Overall!$B$2:$B$1000,MATCH("CB|30",Overall!$I$2:$I$1000,0)),"")</f>
        <v>Barbanera</v>
      </c>
      <c r="C31" s="19" t="n">
        <f aca="false">IFERROR(INDEX(Overall!$F$2:$F$1000,MATCH("CB|30",Overall!$I$2:$I$1000,0)),"")</f>
        <v>85</v>
      </c>
    </row>
    <row r="32" customFormat="false" ht="15" hidden="false" customHeight="false" outlineLevel="0" collapsed="false">
      <c r="A32" s="22" t="n">
        <f aca="false">IF(B32="","",COUNTIFS(Overall!$C$2:$C$1000,"CB",Overall!$F$2:$F$1000,"&gt;"&amp;C32)+1)</f>
        <v>28</v>
      </c>
      <c r="B32" s="11" t="str">
        <f aca="false">IFERROR(INDEX(Overall!$B$2:$B$1000,MATCH("CB|31",Overall!$I$2:$I$1000,0)),"")</f>
        <v>T rex</v>
      </c>
      <c r="C32" s="19" t="n">
        <f aca="false">IFERROR(INDEX(Overall!$F$2:$F$1000,MATCH("CB|31",Overall!$I$2:$I$1000,0)),"")</f>
        <v>85</v>
      </c>
    </row>
    <row r="33" customFormat="false" ht="15" hidden="false" customHeight="false" outlineLevel="0" collapsed="false">
      <c r="A33" s="22" t="n">
        <f aca="false">IF(B33="","",COUNTIFS(Overall!$C$2:$C$1000,"CB",Overall!$F$2:$F$1000,"&gt;"&amp;C33)+1)</f>
        <v>28</v>
      </c>
      <c r="B33" s="11" t="str">
        <f aca="false">IFERROR(INDEX(Overall!$B$2:$B$1000,MATCH("CB|32",Overall!$I$2:$I$1000,0)),"")</f>
        <v>Cookie monster</v>
      </c>
      <c r="C33" s="19" t="n">
        <f aca="false">IFERROR(INDEX(Overall!$F$2:$F$1000,MATCH("CB|32",Overall!$I$2:$I$1000,0)),"")</f>
        <v>85</v>
      </c>
    </row>
    <row r="34" customFormat="false" ht="15" hidden="false" customHeight="false" outlineLevel="0" collapsed="false">
      <c r="A34" s="22" t="n">
        <f aca="false">IF(B34="","",COUNTIFS(Overall!$C$2:$C$1000,"CB",Overall!$F$2:$F$1000,"&gt;"&amp;C34)+1)</f>
        <v>28</v>
      </c>
      <c r="B34" s="11" t="str">
        <f aca="false">IFERROR(INDEX(Overall!$B$2:$B$1000,MATCH("CB|33",Overall!$I$2:$I$1000,0)),"")</f>
        <v>Caesar</v>
      </c>
      <c r="C34" s="19" t="n">
        <f aca="false">IFERROR(INDEX(Overall!$F$2:$F$1000,MATCH("CB|33",Overall!$I$2:$I$1000,0)),"")</f>
        <v>85</v>
      </c>
    </row>
    <row r="35" customFormat="false" ht="15" hidden="false" customHeight="false" outlineLevel="0" collapsed="false">
      <c r="A35" s="22" t="n">
        <f aca="false">IF(B35="","",COUNTIFS(Overall!$C$2:$C$1000,"CB",Overall!$F$2:$F$1000,"&gt;"&amp;C35)+1)</f>
        <v>28</v>
      </c>
      <c r="B35" s="11" t="str">
        <f aca="false">IFERROR(INDEX(Overall!$B$2:$B$1000,MATCH("CB|34",Overall!$I$2:$I$1000,0)),"")</f>
        <v>Snoop dogg</v>
      </c>
      <c r="C35" s="19" t="n">
        <f aca="false">IFERROR(INDEX(Overall!$F$2:$F$1000,MATCH("CB|34",Overall!$I$2:$I$1000,0)),"")</f>
        <v>85</v>
      </c>
    </row>
    <row r="36" customFormat="false" ht="15" hidden="false" customHeight="false" outlineLevel="0" collapsed="false">
      <c r="A36" s="22" t="n">
        <f aca="false">IF(B36="","",COUNTIFS(Overall!$C$2:$C$1000,"CB",Overall!$F$2:$F$1000,"&gt;"&amp;C36)+1)</f>
        <v>28</v>
      </c>
      <c r="B36" s="11" t="str">
        <f aca="false">IFERROR(INDEX(Overall!$B$2:$B$1000,MATCH("CB|35",Overall!$I$2:$I$1000,0)),"")</f>
        <v>Champa</v>
      </c>
      <c r="C36" s="19" t="n">
        <f aca="false">IFERROR(INDEX(Overall!$F$2:$F$1000,MATCH("CB|35",Overall!$I$2:$I$1000,0)),"")</f>
        <v>85</v>
      </c>
    </row>
    <row r="37" customFormat="false" ht="15" hidden="false" customHeight="false" outlineLevel="0" collapsed="false">
      <c r="A37" s="22" t="n">
        <f aca="false">IF(B37="","",COUNTIFS(Overall!$C$2:$C$1000,"CB",Overall!$F$2:$F$1000,"&gt;"&amp;C37)+1)</f>
        <v>28</v>
      </c>
      <c r="B37" s="11" t="str">
        <f aca="false">IFERROR(INDEX(Overall!$B$2:$B$1000,MATCH("CB|36",Overall!$I$2:$I$1000,0)),"")</f>
        <v>Goofy</v>
      </c>
      <c r="C37" s="19" t="n">
        <f aca="false">IFERROR(INDEX(Overall!$F$2:$F$1000,MATCH("CB|36",Overall!$I$2:$I$1000,0)),"")</f>
        <v>85</v>
      </c>
    </row>
    <row r="38" customFormat="false" ht="15" hidden="false" customHeight="false" outlineLevel="0" collapsed="false">
      <c r="A38" s="22" t="n">
        <f aca="false">IF(B38="","",COUNTIFS(Overall!$C$2:$C$1000,"CB",Overall!$F$2:$F$1000,"&gt;"&amp;C38)+1)</f>
        <v>28</v>
      </c>
      <c r="B38" s="11" t="str">
        <f aca="false">IFERROR(INDEX(Overall!$B$2:$B$1000,MATCH("CB|37",Overall!$I$2:$I$1000,0)),"")</f>
        <v>Venom</v>
      </c>
      <c r="C38" s="19" t="n">
        <f aca="false">IFERROR(INDEX(Overall!$F$2:$F$1000,MATCH("CB|37",Overall!$I$2:$I$1000,0)),"")</f>
        <v>85</v>
      </c>
    </row>
    <row r="39" customFormat="false" ht="15" hidden="false" customHeight="false" outlineLevel="0" collapsed="false">
      <c r="A39" s="22" t="n">
        <f aca="false">IF(B39="","",COUNTIFS(Overall!$C$2:$C$1000,"CB",Overall!$F$2:$F$1000,"&gt;"&amp;C39)+1)</f>
        <v>38</v>
      </c>
      <c r="B39" s="11" t="str">
        <f aca="false">IFERROR(INDEX(Overall!$B$2:$B$1000,MATCH("CB|38",Overall!$I$2:$I$1000,0)),"")</f>
        <v>Juan</v>
      </c>
      <c r="C39" s="19" t="n">
        <f aca="false">IFERROR(INDEX(Overall!$F$2:$F$1000,MATCH("CB|38",Overall!$I$2:$I$1000,0)),"")</f>
        <v>84</v>
      </c>
    </row>
    <row r="40" customFormat="false" ht="15" hidden="false" customHeight="false" outlineLevel="0" collapsed="false">
      <c r="A40" s="22" t="n">
        <f aca="false">IF(B40="","",COUNTIFS(Overall!$C$2:$C$1000,"CB",Overall!$F$2:$F$1000,"&gt;"&amp;C40)+1)</f>
        <v>39</v>
      </c>
      <c r="B40" s="11" t="str">
        <f aca="false">IFERROR(INDEX(Overall!$B$2:$B$1000,MATCH("CB|39",Overall!$I$2:$I$1000,0)),"")</f>
        <v>Rikido</v>
      </c>
      <c r="C40" s="19" t="n">
        <f aca="false">IFERROR(INDEX(Overall!$F$2:$F$1000,MATCH("CB|39",Overall!$I$2:$I$1000,0)),"")</f>
        <v>83</v>
      </c>
    </row>
    <row r="41" customFormat="false" ht="15" hidden="false" customHeight="false" outlineLevel="0" collapsed="false">
      <c r="A41" s="22" t="n">
        <f aca="false">IF(B41="","",COUNTIFS(Overall!$C$2:$C$1000,"CB",Overall!$F$2:$F$1000,"&gt;"&amp;C41)+1)</f>
        <v>39</v>
      </c>
      <c r="B41" s="11" t="str">
        <f aca="false">IFERROR(INDEX(Overall!$B$2:$B$1000,MATCH("CB|40",Overall!$I$2:$I$1000,0)),"")</f>
        <v>Moe</v>
      </c>
      <c r="C41" s="19" t="n">
        <f aca="false">IFERROR(INDEX(Overall!$F$2:$F$1000,MATCH("CB|40",Overall!$I$2:$I$1000,0)),"")</f>
        <v>83</v>
      </c>
    </row>
    <row r="42" customFormat="false" ht="15" hidden="false" customHeight="false" outlineLevel="0" collapsed="false">
      <c r="A42" s="22" t="n">
        <f aca="false">IF(B42="","",COUNTIFS(Overall!$C$2:$C$1000,"CB",Overall!$F$2:$F$1000,"&gt;"&amp;C42)+1)</f>
        <v>41</v>
      </c>
      <c r="B42" s="11" t="str">
        <f aca="false">IFERROR(INDEX(Overall!$B$2:$B$1000,MATCH("CB|41",Overall!$I$2:$I$1000,0)),"")</f>
        <v>Todd Ironside</v>
      </c>
      <c r="C42" s="19" t="n">
        <f aca="false">IFERROR(INDEX(Overall!$F$2:$F$1000,MATCH("CB|41",Overall!$I$2:$I$1000,0)),"")</f>
        <v>82</v>
      </c>
    </row>
    <row r="43" customFormat="false" ht="15" hidden="false" customHeight="false" outlineLevel="0" collapsed="false">
      <c r="A43" s="22" t="n">
        <f aca="false">IF(B43="","",COUNTIFS(Overall!$C$2:$C$1000,"CB",Overall!$F$2:$F$1000,"&gt;"&amp;C43)+1)</f>
        <v>41</v>
      </c>
      <c r="B43" s="11" t="str">
        <f aca="false">IFERROR(INDEX(Overall!$B$2:$B$1000,MATCH("CB|42",Overall!$I$2:$I$1000,0)),"")</f>
        <v>Guido mista</v>
      </c>
      <c r="C43" s="19" t="n">
        <f aca="false">IFERROR(INDEX(Overall!$F$2:$F$1000,MATCH("CB|42",Overall!$I$2:$I$1000,0)),"")</f>
        <v>82</v>
      </c>
    </row>
    <row r="44" customFormat="false" ht="15" hidden="false" customHeight="false" outlineLevel="0" collapsed="false">
      <c r="A44" s="22" t="n">
        <f aca="false">IF(B44="","",COUNTIFS(Overall!$C$2:$C$1000,"CB",Overall!$F$2:$F$1000,"&gt;"&amp;C44)+1)</f>
        <v>41</v>
      </c>
      <c r="B44" s="11" t="str">
        <f aca="false">IFERROR(INDEX(Overall!$B$2:$B$1000,MATCH("CB|43",Overall!$I$2:$I$1000,0)),"")</f>
        <v>Krusty il clown</v>
      </c>
      <c r="C44" s="19" t="n">
        <f aca="false">IFERROR(INDEX(Overall!$F$2:$F$1000,MATCH("CB|43",Overall!$I$2:$I$1000,0)),"")</f>
        <v>82</v>
      </c>
    </row>
    <row r="45" customFormat="false" ht="15" hidden="false" customHeight="false" outlineLevel="0" collapsed="false">
      <c r="A45" s="22" t="n">
        <f aca="false">IF(B45="","",COUNTIFS(Overall!$C$2:$C$1000,"CB",Overall!$F$2:$F$1000,"&gt;"&amp;C45)+1)</f>
        <v>41</v>
      </c>
      <c r="B45" s="11" t="str">
        <f aca="false">IFERROR(INDEX(Overall!$B$2:$B$1000,MATCH("CB|44",Overall!$I$2:$I$1000,0)),"")</f>
        <v>Verstappen</v>
      </c>
      <c r="C45" s="19" t="n">
        <f aca="false">IFERROR(INDEX(Overall!$F$2:$F$1000,MATCH("CB|44",Overall!$I$2:$I$1000,0)),"")</f>
        <v>82</v>
      </c>
    </row>
    <row r="46" customFormat="false" ht="15" hidden="false" customHeight="false" outlineLevel="0" collapsed="false">
      <c r="A46" s="22" t="n">
        <f aca="false">IF(B46="","",COUNTIFS(Overall!$C$2:$C$1000,"CB",Overall!$F$2:$F$1000,"&gt;"&amp;C46)+1)</f>
        <v>41</v>
      </c>
      <c r="B46" s="11" t="str">
        <f aca="false">IFERROR(INDEX(Overall!$B$2:$B$1000,MATCH("CB|45",Overall!$I$2:$I$1000,0)),"")</f>
        <v>Recoome</v>
      </c>
      <c r="C46" s="19" t="n">
        <f aca="false">IFERROR(INDEX(Overall!$F$2:$F$1000,MATCH("CB|45",Overall!$I$2:$I$1000,0)),"")</f>
        <v>82</v>
      </c>
    </row>
    <row r="47" customFormat="false" ht="15" hidden="false" customHeight="false" outlineLevel="0" collapsed="false">
      <c r="A47" s="22" t="n">
        <f aca="false">IF(B47="","",COUNTIFS(Overall!$C$2:$C$1000,"CB",Overall!$F$2:$F$1000,"&gt;"&amp;C47)+1)</f>
        <v>41</v>
      </c>
      <c r="B47" s="11" t="str">
        <f aca="false">IFERROR(INDEX(Overall!$B$2:$B$1000,MATCH("CB|46",Overall!$I$2:$I$1000,0)),"")</f>
        <v>Brudisso</v>
      </c>
      <c r="C47" s="19" t="n">
        <f aca="false">IFERROR(INDEX(Overall!$F$2:$F$1000,MATCH("CB|46",Overall!$I$2:$I$1000,0)),"")</f>
        <v>82</v>
      </c>
    </row>
    <row r="48" customFormat="false" ht="15" hidden="false" customHeight="false" outlineLevel="0" collapsed="false">
      <c r="A48" s="22" t="n">
        <f aca="false">IF(B48="","",COUNTIFS(Overall!$C$2:$C$1000,"CB",Overall!$F$2:$F$1000,"&gt;"&amp;C48)+1)</f>
        <v>41</v>
      </c>
      <c r="B48" s="11" t="str">
        <f aca="false">IFERROR(INDEX(Overall!$B$2:$B$1000,MATCH("CB|47",Overall!$I$2:$I$1000,0)),"")</f>
        <v>Heinze</v>
      </c>
      <c r="C48" s="19" t="n">
        <f aca="false">IFERROR(INDEX(Overall!$F$2:$F$1000,MATCH("CB|47",Overall!$I$2:$I$1000,0)),"")</f>
        <v>82</v>
      </c>
    </row>
    <row r="49" customFormat="false" ht="15" hidden="false" customHeight="false" outlineLevel="0" collapsed="false">
      <c r="A49" s="22" t="n">
        <f aca="false">IF(B49="","",COUNTIFS(Overall!$C$2:$C$1000,"CB",Overall!$F$2:$F$1000,"&gt;"&amp;C49)+1)</f>
        <v>41</v>
      </c>
      <c r="B49" s="11" t="str">
        <f aca="false">IFERROR(INDEX(Overall!$B$2:$B$1000,MATCH("CB|48",Overall!$I$2:$I$1000,0)),"")</f>
        <v>Johnny Bravo</v>
      </c>
      <c r="C49" s="19" t="n">
        <f aca="false">IFERROR(INDEX(Overall!$F$2:$F$1000,MATCH("CB|48",Overall!$I$2:$I$1000,0)),"")</f>
        <v>82</v>
      </c>
    </row>
    <row r="50" customFormat="false" ht="15" hidden="false" customHeight="false" outlineLevel="0" collapsed="false">
      <c r="A50" s="22" t="n">
        <f aca="false">IF(B50="","",COUNTIFS(Overall!$C$2:$C$1000,"CB",Overall!$F$2:$F$1000,"&gt;"&amp;C50)+1)</f>
        <v>49</v>
      </c>
      <c r="B50" s="11" t="str">
        <f aca="false">IFERROR(INDEX(Overall!$B$2:$B$1000,MATCH("CB|49",Overall!$I$2:$I$1000,0)),"")</f>
        <v>Psy</v>
      </c>
      <c r="C50" s="19" t="n">
        <f aca="false">IFERROR(INDEX(Overall!$F$2:$F$1000,MATCH("CB|49",Overall!$I$2:$I$1000,0)),"")</f>
        <v>81</v>
      </c>
    </row>
    <row r="51" customFormat="false" ht="15" hidden="false" customHeight="false" outlineLevel="0" collapsed="false">
      <c r="A51" s="22" t="n">
        <f aca="false">IF(B51="","",COUNTIFS(Overall!$C$2:$C$1000,"CB",Overall!$F$2:$F$1000,"&gt;"&amp;C51)+1)</f>
        <v>49</v>
      </c>
      <c r="B51" s="11" t="str">
        <f aca="false">IFERROR(INDEX(Overall!$B$2:$B$1000,MATCH("CB|50",Overall!$I$2:$I$1000,0)),"")</f>
        <v>Clank</v>
      </c>
      <c r="C51" s="19" t="n">
        <f aca="false">IFERROR(INDEX(Overall!$F$2:$F$1000,MATCH("CB|50",Overall!$I$2:$I$1000,0)),"")</f>
        <v>81</v>
      </c>
    </row>
    <row r="52" customFormat="false" ht="15" hidden="false" customHeight="false" outlineLevel="0" collapsed="false">
      <c r="A52" s="22" t="n">
        <f aca="false">IF(B52="","",COUNTIFS(Overall!$C$2:$C$1000,"CB",Overall!$F$2:$F$1000,"&gt;"&amp;C52)+1)</f>
        <v>49</v>
      </c>
      <c r="B52" s="11" t="str">
        <f aca="false">IFERROR(INDEX(Overall!$B$2:$B$1000,MATCH("CB|51",Overall!$I$2:$I$1000,0)),"")</f>
        <v>Mr satan</v>
      </c>
      <c r="C52" s="19" t="n">
        <f aca="false">IFERROR(INDEX(Overall!$F$2:$F$1000,MATCH("CB|51",Overall!$I$2:$I$1000,0)),"")</f>
        <v>81</v>
      </c>
    </row>
    <row r="53" customFormat="false" ht="15" hidden="false" customHeight="false" outlineLevel="0" collapsed="false">
      <c r="A53" s="22" t="n">
        <f aca="false">IF(B53="","",COUNTIFS(Overall!$C$2:$C$1000,"CB",Overall!$F$2:$F$1000,"&gt;"&amp;C53)+1)</f>
        <v>49</v>
      </c>
      <c r="B53" s="11" t="str">
        <f aca="false">IFERROR(INDEX(Overall!$B$2:$B$1000,MATCH("CB|52",Overall!$I$2:$I$1000,0)),"")</f>
        <v>Wolverine</v>
      </c>
      <c r="C53" s="19" t="n">
        <f aca="false">IFERROR(INDEX(Overall!$F$2:$F$1000,MATCH("CB|52",Overall!$I$2:$I$1000,0)),"")</f>
        <v>81</v>
      </c>
    </row>
    <row r="54" customFormat="false" ht="15" hidden="false" customHeight="false" outlineLevel="0" collapsed="false">
      <c r="A54" s="22" t="n">
        <f aca="false">IF(B54="","",COUNTIFS(Overall!$C$2:$C$1000,"CB",Overall!$F$2:$F$1000,"&gt;"&amp;C54)+1)</f>
        <v>49</v>
      </c>
      <c r="B54" s="11" t="str">
        <f aca="false">IFERROR(INDEX(Overall!$B$2:$B$1000,MATCH("CB|53",Overall!$I$2:$I$1000,0)),"")</f>
        <v>Joker</v>
      </c>
      <c r="C54" s="19" t="n">
        <f aca="false">IFERROR(INDEX(Overall!$F$2:$F$1000,MATCH("CB|53",Overall!$I$2:$I$1000,0)),"")</f>
        <v>81</v>
      </c>
    </row>
    <row r="55" customFormat="false" ht="15" hidden="false" customHeight="false" outlineLevel="0" collapsed="false">
      <c r="A55" s="22" t="n">
        <f aca="false">IF(B55="","",COUNTIFS(Overall!$C$2:$C$1000,"CB",Overall!$F$2:$F$1000,"&gt;"&amp;C55)+1)</f>
        <v>54</v>
      </c>
      <c r="B55" s="11" t="str">
        <f aca="false">IFERROR(INDEX(Overall!$B$2:$B$1000,MATCH("CB|54",Overall!$I$2:$I$1000,0)),"")</f>
        <v>Frank</v>
      </c>
      <c r="C55" s="19" t="n">
        <f aca="false">IFERROR(INDEX(Overall!$F$2:$F$1000,MATCH("CB|54",Overall!$I$2:$I$1000,0)),"")</f>
        <v>80</v>
      </c>
    </row>
    <row r="56" customFormat="false" ht="15" hidden="false" customHeight="false" outlineLevel="0" collapsed="false">
      <c r="A56" s="22" t="n">
        <f aca="false">IF(B56="","",COUNTIFS(Overall!$C$2:$C$1000,"CB",Overall!$F$2:$F$1000,"&gt;"&amp;C56)+1)</f>
        <v>54</v>
      </c>
      <c r="B56" s="11" t="str">
        <f aca="false">IFERROR(INDEX(Overall!$B$2:$B$1000,MATCH("CB|55",Overall!$I$2:$I$1000,0)),"")</f>
        <v>Spike</v>
      </c>
      <c r="C56" s="19" t="n">
        <f aca="false">IFERROR(INDEX(Overall!$F$2:$F$1000,MATCH("CB|55",Overall!$I$2:$I$1000,0)),"")</f>
        <v>80</v>
      </c>
    </row>
    <row r="57" customFormat="false" ht="15" hidden="false" customHeight="false" outlineLevel="0" collapsed="false">
      <c r="A57" s="22" t="n">
        <f aca="false">IF(B57="","",COUNTIFS(Overall!$C$2:$C$1000,"CB",Overall!$F$2:$F$1000,"&gt;"&amp;C57)+1)</f>
        <v>54</v>
      </c>
      <c r="B57" s="11" t="str">
        <f aca="false">IFERROR(INDEX(Overall!$B$2:$B$1000,MATCH("CB|56",Overall!$I$2:$I$1000,0)),"")</f>
        <v>Giulio Cesare</v>
      </c>
      <c r="C57" s="19" t="n">
        <f aca="false">IFERROR(INDEX(Overall!$F$2:$F$1000,MATCH("CB|56",Overall!$I$2:$I$1000,0)),"")</f>
        <v>80</v>
      </c>
    </row>
    <row r="58" customFormat="false" ht="15" hidden="false" customHeight="false" outlineLevel="0" collapsed="false">
      <c r="A58" s="22" t="n">
        <f aca="false">IF(B58="","",COUNTIFS(Overall!$C$2:$C$1000,"CB",Overall!$F$2:$F$1000,"&gt;"&amp;C58)+1)</f>
        <v>54</v>
      </c>
      <c r="B58" s="11" t="str">
        <f aca="false">IFERROR(INDEX(Overall!$B$2:$B$1000,MATCH("CB|57",Overall!$I$2:$I$1000,0)),"")</f>
        <v>Winnie the pooh</v>
      </c>
      <c r="C58" s="19" t="n">
        <f aca="false">IFERROR(INDEX(Overall!$F$2:$F$1000,MATCH("CB|57",Overall!$I$2:$I$1000,0)),"")</f>
        <v>80</v>
      </c>
    </row>
    <row r="59" customFormat="false" ht="15" hidden="false" customHeight="false" outlineLevel="0" collapsed="false">
      <c r="A59" s="22" t="n">
        <f aca="false">IF(B59="","",COUNTIFS(Overall!$C$2:$C$1000,"CB",Overall!$F$2:$F$1000,"&gt;"&amp;C59)+1)</f>
        <v>54</v>
      </c>
      <c r="B59" s="11" t="str">
        <f aca="false">IFERROR(INDEX(Overall!$B$2:$B$1000,MATCH("CB|58",Overall!$I$2:$I$1000,0)),"")</f>
        <v>Re boo</v>
      </c>
      <c r="C59" s="19" t="n">
        <f aca="false">IFERROR(INDEX(Overall!$F$2:$F$1000,MATCH("CB|58",Overall!$I$2:$I$1000,0)),"")</f>
        <v>80</v>
      </c>
    </row>
    <row r="60" customFormat="false" ht="15" hidden="false" customHeight="false" outlineLevel="0" collapsed="false">
      <c r="A60" s="22" t="n">
        <f aca="false">IF(B60="","",COUNTIFS(Overall!$C$2:$C$1000,"CB",Overall!$F$2:$F$1000,"&gt;"&amp;C60)+1)</f>
        <v>54</v>
      </c>
      <c r="B60" s="11" t="str">
        <f aca="false">IFERROR(INDEX(Overall!$B$2:$B$1000,MATCH("CB|59",Overall!$I$2:$I$1000,0)),"")</f>
        <v>Tom</v>
      </c>
      <c r="C60" s="19" t="n">
        <f aca="false">IFERROR(INDEX(Overall!$F$2:$F$1000,MATCH("CB|59",Overall!$I$2:$I$1000,0)),"")</f>
        <v>80</v>
      </c>
    </row>
    <row r="61" customFormat="false" ht="15" hidden="false" customHeight="false" outlineLevel="0" collapsed="false">
      <c r="A61" s="22" t="n">
        <f aca="false">IF(B61="","",COUNTIFS(Overall!$C$2:$C$1000,"CB",Overall!$F$2:$F$1000,"&gt;"&amp;C61)+1)</f>
        <v>54</v>
      </c>
      <c r="B61" s="11" t="str">
        <f aca="false">IFERROR(INDEX(Overall!$B$2:$B$1000,MATCH("CB|60",Overall!$I$2:$I$1000,0)),"")</f>
        <v>Snake</v>
      </c>
      <c r="C61" s="19" t="n">
        <f aca="false">IFERROR(INDEX(Overall!$F$2:$F$1000,MATCH("CB|60",Overall!$I$2:$I$1000,0)),"")</f>
        <v>80</v>
      </c>
    </row>
    <row r="62" customFormat="false" ht="15" hidden="false" customHeight="false" outlineLevel="0" collapsed="false">
      <c r="A62" s="22" t="n">
        <f aca="false">IF(B62="","",COUNTIFS(Overall!$C$2:$C$1000,"CB",Overall!$F$2:$F$1000,"&gt;"&amp;C62)+1)</f>
        <v>61</v>
      </c>
      <c r="B62" s="11" t="str">
        <f aca="false">IFERROR(INDEX(Overall!$B$2:$B$1000,MATCH("CB|61",Overall!$I$2:$I$1000,0)),"")</f>
        <v>Dodoria</v>
      </c>
      <c r="C62" s="19" t="n">
        <f aca="false">IFERROR(INDEX(Overall!$F$2:$F$1000,MATCH("CB|61",Overall!$I$2:$I$1000,0)),"")</f>
        <v>79</v>
      </c>
    </row>
    <row r="63" customFormat="false" ht="15" hidden="false" customHeight="false" outlineLevel="0" collapsed="false">
      <c r="A63" s="22" t="n">
        <f aca="false">IF(B63="","",COUNTIFS(Overall!$C$2:$C$1000,"CB",Overall!$F$2:$F$1000,"&gt;"&amp;C63)+1)</f>
        <v>61</v>
      </c>
      <c r="B63" s="11" t="str">
        <f aca="false">IFERROR(INDEX(Overall!$B$2:$B$1000,MATCH("CB|62",Overall!$I$2:$I$1000,0)),"")</f>
        <v>Master Roshi</v>
      </c>
      <c r="C63" s="19" t="n">
        <f aca="false">IFERROR(INDEX(Overall!$F$2:$F$1000,MATCH("CB|62",Overall!$I$2:$I$1000,0)),"")</f>
        <v>79</v>
      </c>
    </row>
    <row r="64" customFormat="false" ht="15" hidden="false" customHeight="false" outlineLevel="0" collapsed="false">
      <c r="A64" s="22" t="n">
        <f aca="false">IF(B64="","",COUNTIFS(Overall!$C$2:$C$1000,"CB",Overall!$F$2:$F$1000,"&gt;"&amp;C64)+1)</f>
        <v>63</v>
      </c>
      <c r="B64" s="11" t="str">
        <f aca="false">IFERROR(INDEX(Overall!$B$2:$B$1000,MATCH("CB|63",Overall!$I$2:$I$1000,0)),"")</f>
        <v>Woody</v>
      </c>
      <c r="C64" s="19" t="n">
        <f aca="false">IFERROR(INDEX(Overall!$F$2:$F$1000,MATCH("CB|63",Overall!$I$2:$I$1000,0)),"")</f>
        <v>78</v>
      </c>
    </row>
    <row r="65" customFormat="false" ht="15" hidden="false" customHeight="false" outlineLevel="0" collapsed="false">
      <c r="A65" s="22" t="n">
        <f aca="false">IF(B65="","",COUNTIFS(Overall!$C$2:$C$1000,"CB",Overall!$F$2:$F$1000,"&gt;"&amp;C65)+1)</f>
        <v>64</v>
      </c>
      <c r="B65" s="11" t="str">
        <f aca="false">IFERROR(INDEX(Overall!$B$2:$B$1000,MATCH("CB|64",Overall!$I$2:$I$1000,0)),"")</f>
        <v>Sainz</v>
      </c>
      <c r="C65" s="19" t="n">
        <f aca="false">IFERROR(INDEX(Overall!$F$2:$F$1000,MATCH("CB|64",Overall!$I$2:$I$1000,0)),"")</f>
        <v>77</v>
      </c>
    </row>
    <row r="66" customFormat="false" ht="15" hidden="false" customHeight="false" outlineLevel="0" collapsed="false">
      <c r="A66" s="22" t="n">
        <f aca="false">IF(B66="","",COUNTIFS(Overall!$C$2:$C$1000,"CB",Overall!$F$2:$F$1000,"&gt;"&amp;C66)+1)</f>
        <v>64</v>
      </c>
      <c r="B66" s="11" t="str">
        <f aca="false">IFERROR(INDEX(Overall!$B$2:$B$1000,MATCH("CB|65",Overall!$I$2:$I$1000,0)),"")</f>
        <v>Norris</v>
      </c>
      <c r="C66" s="19" t="n">
        <f aca="false">IFERROR(INDEX(Overall!$F$2:$F$1000,MATCH("CB|65",Overall!$I$2:$I$1000,0)),"")</f>
        <v>77</v>
      </c>
    </row>
    <row r="67" customFormat="false" ht="15" hidden="false" customHeight="false" outlineLevel="0" collapsed="false">
      <c r="A67" s="22" t="n">
        <f aca="false">IF(B67="","",COUNTIFS(Overall!$C$2:$C$1000,"CB",Overall!$F$2:$F$1000,"&gt;"&amp;C67)+1)</f>
        <v>64</v>
      </c>
      <c r="B67" s="11" t="str">
        <f aca="false">IFERROR(INDEX(Overall!$B$2:$B$1000,MATCH("CB|66",Overall!$I$2:$I$1000,0)),"")</f>
        <v>Wiggler</v>
      </c>
      <c r="C67" s="19" t="n">
        <f aca="false">IFERROR(INDEX(Overall!$F$2:$F$1000,MATCH("CB|66",Overall!$I$2:$I$1000,0)),"")</f>
        <v>77</v>
      </c>
    </row>
    <row r="68" customFormat="false" ht="15" hidden="false" customHeight="false" outlineLevel="0" collapsed="false">
      <c r="A68" s="22" t="n">
        <f aca="false">IF(B68="","",COUNTIFS(Overall!$C$2:$C$1000,"CB",Overall!$F$2:$F$1000,"&gt;"&amp;C68)+1)</f>
        <v>64</v>
      </c>
      <c r="B68" s="11" t="str">
        <f aca="false">IFERROR(INDEX(Overall!$B$2:$B$1000,MATCH("CB|67",Overall!$I$2:$I$1000,0)),"")</f>
        <v>Ben 10</v>
      </c>
      <c r="C68" s="19" t="n">
        <f aca="false">IFERROR(INDEX(Overall!$F$2:$F$1000,MATCH("CB|67",Overall!$I$2:$I$1000,0)),"")</f>
        <v>77</v>
      </c>
    </row>
    <row r="69" customFormat="false" ht="15" hidden="false" customHeight="false" outlineLevel="0" collapsed="false">
      <c r="A69" s="22" t="n">
        <f aca="false">IF(B69="","",COUNTIFS(Overall!$C$2:$C$1000,"CB",Overall!$F$2:$F$1000,"&gt;"&amp;C69)+1)</f>
        <v>68</v>
      </c>
      <c r="B69" s="11" t="str">
        <f aca="false">IFERROR(INDEX(Overall!$B$2:$B$1000,MATCH("CB|68",Overall!$I$2:$I$1000,0)),"")</f>
        <v>Vettel</v>
      </c>
      <c r="C69" s="19" t="n">
        <f aca="false">IFERROR(INDEX(Overall!$F$2:$F$1000,MATCH("CB|68",Overall!$I$2:$I$1000,0)),"")</f>
        <v>76</v>
      </c>
    </row>
    <row r="70" customFormat="false" ht="15" hidden="false" customHeight="false" outlineLevel="0" collapsed="false">
      <c r="A70" s="22" t="n">
        <f aca="false">IF(B70="","",COUNTIFS(Overall!$C$2:$C$1000,"CB",Overall!$F$2:$F$1000,"&gt;"&amp;C70)+1)</f>
        <v>68</v>
      </c>
      <c r="B70" s="11" t="str">
        <f aca="false">IFERROR(INDEX(Overall!$B$2:$B$1000,MATCH("CB|69",Overall!$I$2:$I$1000,0)),"")</f>
        <v>Enrico VIII</v>
      </c>
      <c r="C70" s="19" t="n">
        <f aca="false">IFERROR(INDEX(Overall!$F$2:$F$1000,MATCH("CB|69",Overall!$I$2:$I$1000,0)),"")</f>
        <v>76</v>
      </c>
    </row>
    <row r="71" customFormat="false" ht="15" hidden="false" customHeight="false" outlineLevel="0" collapsed="false">
      <c r="A71" s="22" t="n">
        <f aca="false">IF(B71="","",COUNTIFS(Overall!$C$2:$C$1000,"CB",Overall!$F$2:$F$1000,"&gt;"&amp;C71)+1)</f>
        <v>68</v>
      </c>
      <c r="B71" s="11" t="str">
        <f aca="false">IFERROR(INDEX(Overall!$B$2:$B$1000,MATCH("CB|70",Overall!$I$2:$I$1000,0)),"")</f>
        <v>Biggie</v>
      </c>
      <c r="C71" s="19" t="n">
        <f aca="false">IFERROR(INDEX(Overall!$F$2:$F$1000,MATCH("CB|70",Overall!$I$2:$I$1000,0)),"")</f>
        <v>76</v>
      </c>
    </row>
    <row r="72" customFormat="false" ht="15" hidden="false" customHeight="false" outlineLevel="0" collapsed="false">
      <c r="A72" s="22" t="n">
        <f aca="false">IF(B72="","",COUNTIFS(Overall!$C$2:$C$1000,"CB",Overall!$F$2:$F$1000,"&gt;"&amp;C72)+1)</f>
        <v>68</v>
      </c>
      <c r="B72" s="11" t="str">
        <f aca="false">IFERROR(INDEX(Overall!$B$2:$B$1000,MATCH("CB|71",Overall!$I$2:$I$1000,0)),"")</f>
        <v>Sheik</v>
      </c>
      <c r="C72" s="19" t="n">
        <f aca="false">IFERROR(INDEX(Overall!$F$2:$F$1000,MATCH("CB|71",Overall!$I$2:$I$1000,0)),"")</f>
        <v>76</v>
      </c>
    </row>
    <row r="73" customFormat="false" ht="15" hidden="false" customHeight="false" outlineLevel="0" collapsed="false">
      <c r="A73" s="22" t="n">
        <f aca="false">IF(B73="","",COUNTIFS(Overall!$C$2:$C$1000,"CB",Overall!$F$2:$F$1000,"&gt;"&amp;C73)+1)</f>
        <v>68</v>
      </c>
      <c r="B73" s="11" t="str">
        <f aca="false">IFERROR(INDEX(Overall!$B$2:$B$1000,MATCH("CB|72",Overall!$I$2:$I$1000,0)),"")</f>
        <v>Pit</v>
      </c>
      <c r="C73" s="19" t="n">
        <f aca="false">IFERROR(INDEX(Overall!$F$2:$F$1000,MATCH("CB|72",Overall!$I$2:$I$1000,0)),"")</f>
        <v>76</v>
      </c>
    </row>
    <row r="74" customFormat="false" ht="15" hidden="false" customHeight="false" outlineLevel="0" collapsed="false">
      <c r="A74" s="22" t="n">
        <f aca="false">IF(B74="","",COUNTIFS(Overall!$C$2:$C$1000,"CB",Overall!$F$2:$F$1000,"&gt;"&amp;C74)+1)</f>
        <v>68</v>
      </c>
      <c r="B74" s="11" t="str">
        <f aca="false">IFERROR(INDEX(Overall!$B$2:$B$1000,MATCH("CB|73",Overall!$I$2:$I$1000,0)),"")</f>
        <v>Max goofy</v>
      </c>
      <c r="C74" s="19" t="n">
        <f aca="false">IFERROR(INDEX(Overall!$F$2:$F$1000,MATCH("CB|73",Overall!$I$2:$I$1000,0)),"")</f>
        <v>76</v>
      </c>
    </row>
    <row r="75" customFormat="false" ht="15" hidden="false" customHeight="false" outlineLevel="0" collapsed="false">
      <c r="A75" s="22" t="str">
        <f aca="false">IF(B75="","",COUNTIFS(Overall!$C$2:$C$1000,"CB",Overall!$F$2:$F$1000,"&gt;"&amp;C75)+1)</f>
        <v/>
      </c>
      <c r="B75" s="11" t="str">
        <f aca="false">IFERROR(INDEX(Overall!$B$2:$B$1000,MATCH("CB|74",Overall!$I$2:$I$1000,0)),"")</f>
        <v/>
      </c>
      <c r="C75" s="19" t="str">
        <f aca="false">IFERROR(INDEX(Overall!$F$2:$F$1000,MATCH("CB|74",Overall!$I$2:$I$1000,0)),"")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IF(B76="","",COUNTIFS(Overall!$C$2:$C$1000,"CB",Overall!$F$2:$F$1000,"&gt;"&amp;C76)+1)</f>
        <v/>
      </c>
      <c r="B76" s="11" t="str">
        <f aca="false">IFERROR(INDEX(Overall!$B$2:$B$1000,MATCH("CB|75",Overall!$I$2:$I$1000,0)),"")</f>
        <v/>
      </c>
      <c r="C76" s="19" t="str">
        <f aca="false">IFERROR(INDEX(Overall!$F$2:$F$1000,MATCH("CB|75",Overall!$I$2:$I$1000,0)),"")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IF(B77="","",COUNTIFS(Overall!$C$2:$C$1000,"CB",Overall!$F$2:$F$1000,"&gt;"&amp;C77)+1)</f>
        <v/>
      </c>
      <c r="B77" s="11" t="str">
        <f aca="false">IFERROR(INDEX(Overall!$B$2:$B$1000,MATCH("CB|76",Overall!$I$2:$I$1000,0)),"")</f>
        <v/>
      </c>
      <c r="C77" s="19" t="str">
        <f aca="false">IFERROR(INDEX(Overall!$F$2:$F$1000,MATCH("CB|76",Overall!$I$2:$I$1000,0)),"")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IF(B78="","",COUNTIFS(Overall!$C$2:$C$1000,"CB",Overall!$F$2:$F$1000,"&gt;"&amp;C78)+1)</f>
        <v/>
      </c>
      <c r="B78" s="11" t="str">
        <f aca="false">IFERROR(INDEX(Overall!$B$2:$B$1000,MATCH("CB|77",Overall!$I$2:$I$1000,0)),"")</f>
        <v/>
      </c>
      <c r="C78" s="19" t="str">
        <f aca="false">IFERROR(INDEX(Overall!$F$2:$F$1000,MATCH("CB|77",Overall!$I$2:$I$1000,0)),"")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IF(B79="","",COUNTIFS(Overall!$C$2:$C$1000,"CB",Overall!$F$2:$F$1000,"&gt;"&amp;C79)+1)</f>
        <v/>
      </c>
      <c r="B79" s="11" t="str">
        <f aca="false">IFERROR(INDEX(Overall!$B$2:$B$1000,MATCH("CB|78",Overall!$I$2:$I$1000,0)),"")</f>
        <v/>
      </c>
      <c r="C79" s="19" t="str">
        <f aca="false">IFERROR(INDEX(Overall!$F$2:$F$1000,MATCH("CB|78",Overall!$I$2:$I$1000,0)),"")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IF(B80="","",COUNTIFS(Overall!$C$2:$C$1000,"CB",Overall!$F$2:$F$1000,"&gt;"&amp;C80)+1)</f>
        <v/>
      </c>
      <c r="B80" s="11" t="str">
        <f aca="false">IFERROR(INDEX(Overall!$B$2:$B$1000,MATCH("CB|79",Overall!$I$2:$I$1000,0)),"")</f>
        <v/>
      </c>
      <c r="C80" s="19" t="str">
        <f aca="false">IFERROR(INDEX(Overall!$F$2:$F$1000,MATCH("CB|79",Overall!$I$2:$I$1000,0)),"")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IF(B81="","",COUNTIFS(Overall!$C$2:$C$1000,"CB",Overall!$F$2:$F$1000,"&gt;"&amp;C81)+1)</f>
        <v/>
      </c>
      <c r="B81" s="11" t="str">
        <f aca="false">IFERROR(INDEX(Overall!$B$2:$B$1000,MATCH("CB|80",Overall!$I$2:$I$1000,0)),"")</f>
        <v/>
      </c>
      <c r="C81" s="19" t="str">
        <f aca="false">IFERROR(INDEX(Overall!$F$2:$F$1000,MATCH("CB|80",Overall!$I$2:$I$1000,0)),"")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IF(B82="","",COUNTIFS(Overall!$C$2:$C$1000,"CB",Overall!$F$2:$F$1000,"&gt;"&amp;C82)+1)</f>
        <v/>
      </c>
      <c r="B82" s="11" t="str">
        <f aca="false">IFERROR(INDEX(Overall!$B$2:$B$1000,MATCH("CB|81",Overall!$I$2:$I$1000,0)),"")</f>
        <v/>
      </c>
      <c r="C82" s="19" t="str">
        <f aca="false">IFERROR(INDEX(Overall!$F$2:$F$1000,MATCH("CB|81",Overall!$I$2:$I$1000,0)),"")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IF(B83="","",COUNTIFS(Overall!$C$2:$C$1000,"CB",Overall!$F$2:$F$1000,"&gt;"&amp;C83)+1)</f>
        <v/>
      </c>
      <c r="B83" s="11" t="str">
        <f aca="false">IFERROR(INDEX(Overall!$B$2:$B$1000,MATCH("CB|82",Overall!$I$2:$I$1000,0)),"")</f>
        <v/>
      </c>
      <c r="C83" s="19" t="str">
        <f aca="false">IFERROR(INDEX(Overall!$F$2:$F$1000,MATCH("CB|82",Overall!$I$2:$I$1000,0)),"")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IF(B84="","",COUNTIFS(Overall!$C$2:$C$1000,"CB",Overall!$F$2:$F$1000,"&gt;"&amp;C84)+1)</f>
        <v/>
      </c>
      <c r="B84" s="11" t="str">
        <f aca="false">IFERROR(INDEX(Overall!$B$2:$B$1000,MATCH("CB|83",Overall!$I$2:$I$1000,0)),"")</f>
        <v/>
      </c>
      <c r="C84" s="19" t="str">
        <f aca="false">IFERROR(INDEX(Overall!$F$2:$F$1000,MATCH("CB|83",Overall!$I$2:$I$1000,0)),"")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IF(B85="","",COUNTIFS(Overall!$C$2:$C$1000,"CB",Overall!$F$2:$F$1000,"&gt;"&amp;C85)+1)</f>
        <v/>
      </c>
      <c r="B85" s="11" t="str">
        <f aca="false">IFERROR(INDEX(Overall!$B$2:$B$1000,MATCH("CB|84",Overall!$I$2:$I$1000,0)),"")</f>
        <v/>
      </c>
      <c r="C85" s="19" t="str">
        <f aca="false">IFERROR(INDEX(Overall!$F$2:$F$1000,MATCH("CB|84",Overall!$I$2:$I$1000,0)),"")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IF(B86="","",COUNTIFS(Overall!$C$2:$C$1000,"CB",Overall!$F$2:$F$1000,"&gt;"&amp;C86)+1)</f>
        <v/>
      </c>
      <c r="B86" s="11" t="str">
        <f aca="false">IFERROR(INDEX(Overall!$B$2:$B$1000,MATCH("CB|85",Overall!$I$2:$I$1000,0)),"")</f>
        <v/>
      </c>
      <c r="C86" s="19" t="str">
        <f aca="false">IFERROR(INDEX(Overall!$F$2:$F$1000,MATCH("CB|85",Overall!$I$2:$I$1000,0)),"")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IF(B87="","",COUNTIFS(Overall!$C$2:$C$1000,"CB",Overall!$F$2:$F$1000,"&gt;"&amp;C87)+1)</f>
        <v/>
      </c>
      <c r="B87" s="11" t="str">
        <f aca="false">IFERROR(INDEX(Overall!$B$2:$B$1000,MATCH("CB|86",Overall!$I$2:$I$1000,0)),"")</f>
        <v/>
      </c>
      <c r="C87" s="19" t="str">
        <f aca="false">IFERROR(INDEX(Overall!$F$2:$F$1000,MATCH("CB|86",Overall!$I$2:$I$1000,0)),"")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IF(B88="","",COUNTIFS(Overall!$C$2:$C$1000,"CB",Overall!$F$2:$F$1000,"&gt;"&amp;C88)+1)</f>
        <v/>
      </c>
      <c r="B88" s="11" t="str">
        <f aca="false">IFERROR(INDEX(Overall!$B$2:$B$1000,MATCH("CB|87",Overall!$I$2:$I$1000,0)),"")</f>
        <v/>
      </c>
      <c r="C88" s="19" t="str">
        <f aca="false">IFERROR(INDEX(Overall!$F$2:$F$1000,MATCH("CB|87",Overall!$I$2:$I$1000,0)),"")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IF(B89="","",COUNTIFS(Overall!$C$2:$C$1000,"CB",Overall!$F$2:$F$1000,"&gt;"&amp;C89)+1)</f>
        <v/>
      </c>
      <c r="B89" s="11" t="str">
        <f aca="false">IFERROR(INDEX(Overall!$B$2:$B$1000,MATCH("CB|88",Overall!$I$2:$I$1000,0)),"")</f>
        <v/>
      </c>
      <c r="C89" s="19" t="str">
        <f aca="false">IFERROR(INDEX(Overall!$F$2:$F$1000,MATCH("CB|88",Overall!$I$2:$I$1000,0)),"")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IF(B90="","",COUNTIFS(Overall!$C$2:$C$1000,"CB",Overall!$F$2:$F$1000,"&gt;"&amp;C90)+1)</f>
        <v/>
      </c>
      <c r="B90" s="11" t="str">
        <f aca="false">IFERROR(INDEX(Overall!$B$2:$B$1000,MATCH("CB|89",Overall!$I$2:$I$1000,0)),"")</f>
        <v/>
      </c>
      <c r="C90" s="19" t="str">
        <f aca="false">IFERROR(INDEX(Overall!$F$2:$F$1000,MATCH("CB|89",Overall!$I$2:$I$1000,0)),"")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IF(B91="","",COUNTIFS(Overall!$C$2:$C$1000,"CB",Overall!$F$2:$F$1000,"&gt;"&amp;C91)+1)</f>
        <v/>
      </c>
      <c r="B91" s="11" t="str">
        <f aca="false">IFERROR(INDEX(Overall!$B$2:$B$1000,MATCH("CB|90",Overall!$I$2:$I$1000,0)),"")</f>
        <v/>
      </c>
      <c r="C91" s="19" t="str">
        <f aca="false">IFERROR(INDEX(Overall!$F$2:$F$1000,MATCH("CB|90",Overall!$I$2:$I$1000,0)),"")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IF(B92="","",COUNTIFS(Overall!$C$2:$C$1000,"CB",Overall!$F$2:$F$1000,"&gt;"&amp;C92)+1)</f>
        <v/>
      </c>
      <c r="B92" s="11" t="str">
        <f aca="false">IFERROR(INDEX(Overall!$B$2:$B$1000,MATCH("CB|91",Overall!$I$2:$I$1000,0)),"")</f>
        <v/>
      </c>
      <c r="C92" s="19" t="str">
        <f aca="false">IFERROR(INDEX(Overall!$F$2:$F$1000,MATCH("CB|91",Overall!$I$2:$I$1000,0)),"")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IF(B93="","",COUNTIFS(Overall!$C$2:$C$1000,"CB",Overall!$F$2:$F$1000,"&gt;"&amp;C93)+1)</f>
        <v/>
      </c>
      <c r="B93" s="11" t="str">
        <f aca="false">IFERROR(INDEX(Overall!$B$2:$B$1000,MATCH("CB|92",Overall!$I$2:$I$1000,0)),"")</f>
        <v/>
      </c>
      <c r="C93" s="19" t="str">
        <f aca="false">IFERROR(INDEX(Overall!$F$2:$F$1000,MATCH("CB|92",Overall!$I$2:$I$1000,0)),"")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IF(B94="","",COUNTIFS(Overall!$C$2:$C$1000,"CB",Overall!$F$2:$F$1000,"&gt;"&amp;C94)+1)</f>
        <v/>
      </c>
      <c r="B94" s="11" t="str">
        <f aca="false">IFERROR(INDEX(Overall!$B$2:$B$1000,MATCH("CB|93",Overall!$I$2:$I$1000,0)),"")</f>
        <v/>
      </c>
      <c r="C94" s="19" t="str">
        <f aca="false">IFERROR(INDEX(Overall!$F$2:$F$1000,MATCH("CB|93",Overall!$I$2:$I$1000,0)),"")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IF(B95="","",COUNTIFS(Overall!$C$2:$C$1000,"CB",Overall!$F$2:$F$1000,"&gt;"&amp;C95)+1)</f>
        <v/>
      </c>
      <c r="B95" s="11" t="str">
        <f aca="false">IFERROR(INDEX(Overall!$B$2:$B$1000,MATCH("CB|94",Overall!$I$2:$I$1000,0)),"")</f>
        <v/>
      </c>
      <c r="C95" s="19" t="str">
        <f aca="false">IFERROR(INDEX(Overall!$F$2:$F$1000,MATCH("CB|94",Overall!$I$2:$I$1000,0)),"")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IF(B96="","",COUNTIFS(Overall!$C$2:$C$1000,"CB",Overall!$F$2:$F$1000,"&gt;"&amp;C96)+1)</f>
        <v/>
      </c>
      <c r="B96" s="11" t="str">
        <f aca="false">IFERROR(INDEX(Overall!$B$2:$B$1000,MATCH("CB|95",Overall!$I$2:$I$1000,0)),"")</f>
        <v/>
      </c>
      <c r="C96" s="19" t="str">
        <f aca="false">IFERROR(INDEX(Overall!$F$2:$F$1000,MATCH("CB|95",Overall!$I$2:$I$1000,0)),"")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IF(B97="","",COUNTIFS(Overall!$C$2:$C$1000,"CB",Overall!$F$2:$F$1000,"&gt;"&amp;C97)+1)</f>
        <v/>
      </c>
      <c r="B97" s="11" t="str">
        <f aca="false">IFERROR(INDEX(Overall!$B$2:$B$1000,MATCH("CB|96",Overall!$I$2:$I$1000,0)),"")</f>
        <v/>
      </c>
      <c r="C97" s="19" t="str">
        <f aca="false">IFERROR(INDEX(Overall!$F$2:$F$1000,MATCH("CB|96",Overall!$I$2:$I$1000,0)),"")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IF(B98="","",COUNTIFS(Overall!$C$2:$C$1000,"CB",Overall!$F$2:$F$1000,"&gt;"&amp;C98)+1)</f>
        <v/>
      </c>
      <c r="B98" s="11" t="str">
        <f aca="false">IFERROR(INDEX(Overall!$B$2:$B$1000,MATCH("CB|97",Overall!$I$2:$I$1000,0)),"")</f>
        <v/>
      </c>
      <c r="C98" s="19" t="str">
        <f aca="false">IFERROR(INDEX(Overall!$F$2:$F$1000,MATCH("CB|97",Overall!$I$2:$I$1000,0)),"")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IF(B99="","",COUNTIFS(Overall!$C$2:$C$1000,"CB",Overall!$F$2:$F$1000,"&gt;"&amp;C99)+1)</f>
        <v/>
      </c>
      <c r="B99" s="11" t="str">
        <f aca="false">IFERROR(INDEX(Overall!$B$2:$B$1000,MATCH("CB|98",Overall!$I$2:$I$1000,0)),"")</f>
        <v/>
      </c>
      <c r="C99" s="19" t="str">
        <f aca="false">IFERROR(INDEX(Overall!$F$2:$F$1000,MATCH("CB|98",Overall!$I$2:$I$1000,0)),"")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IF(B100="","",COUNTIFS(Overall!$C$2:$C$1000,"CB",Overall!$F$2:$F$1000,"&gt;"&amp;C100)+1)</f>
        <v/>
      </c>
      <c r="B100" s="11" t="str">
        <f aca="false">IFERROR(INDEX(Overall!$B$2:$B$1000,MATCH("CB|99",Overall!$I$2:$I$1000,0)),"")</f>
        <v/>
      </c>
      <c r="C100" s="19" t="str">
        <f aca="false">IFERROR(INDEX(Overall!$F$2:$F$1000,MATCH("CB|99",Overall!$I$2:$I$1000,0)),"")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IF(B101="","",COUNTIFS(Overall!$C$2:$C$1000,"CB",Overall!$F$2:$F$1000,"&gt;"&amp;C101)+1)</f>
        <v/>
      </c>
      <c r="B101" s="11" t="str">
        <f aca="false">IFERROR(INDEX(Overall!$B$2:$B$1000,MATCH("CB|100",Overall!$I$2:$I$1000,0)),"")</f>
        <v/>
      </c>
      <c r="C101" s="19" t="str">
        <f aca="false">IFERROR(INDEX(Overall!$F$2:$F$1000,MATCH("CB|100",Overall!$I$2:$I$1000,0)),"")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IF(B102="","",COUNTIFS(Overall!$C$2:$C$1000,"CB",Overall!$F$2:$F$1000,"&gt;"&amp;C102)+1)</f>
        <v/>
      </c>
      <c r="B102" s="11" t="str">
        <f aca="false">IFERROR(INDEX(Overall!$B$2:$B$1000,MATCH("CB|101",Overall!$I$2:$I$1000,0)),"")</f>
        <v/>
      </c>
      <c r="C102" s="19" t="str">
        <f aca="false">IFERROR(INDEX(Overall!$F$2:$F$1000,MATCH("CB|101",Overall!$I$2:$I$1000,0)),"")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IF(B103="","",COUNTIFS(Overall!$C$2:$C$1000,"CB",Overall!$F$2:$F$1000,"&gt;"&amp;C103)+1)</f>
        <v/>
      </c>
      <c r="B103" s="11" t="str">
        <f aca="false">IFERROR(INDEX(Overall!$B$2:$B$1000,MATCH("CB|102",Overall!$I$2:$I$1000,0)),"")</f>
        <v/>
      </c>
      <c r="C103" s="19" t="str">
        <f aca="false">IFERROR(INDEX(Overall!$F$2:$F$1000,MATCH("CB|102",Overall!$I$2:$I$1000,0)),"")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IF(B104="","",COUNTIFS(Overall!$C$2:$C$1000,"CB",Overall!$F$2:$F$1000,"&gt;"&amp;C104)+1)</f>
        <v/>
      </c>
      <c r="B104" s="11" t="str">
        <f aca="false">IFERROR(INDEX(Overall!$B$2:$B$1000,MATCH("CB|103",Overall!$I$2:$I$1000,0)),"")</f>
        <v/>
      </c>
      <c r="C104" s="19" t="str">
        <f aca="false">IFERROR(INDEX(Overall!$F$2:$F$1000,MATCH("CB|103",Overall!$I$2:$I$1000,0)),"")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IF(B105="","",COUNTIFS(Overall!$C$2:$C$1000,"CB",Overall!$F$2:$F$1000,"&gt;"&amp;C105)+1)</f>
        <v/>
      </c>
      <c r="B105" s="11" t="str">
        <f aca="false">IFERROR(INDEX(Overall!$B$2:$B$1000,MATCH("CB|104",Overall!$I$2:$I$1000,0)),"")</f>
        <v/>
      </c>
      <c r="C105" s="19" t="str">
        <f aca="false">IFERROR(INDEX(Overall!$F$2:$F$1000,MATCH("CB|104",Overall!$I$2:$I$1000,0)),"")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IF(B106="","",COUNTIFS(Overall!$C$2:$C$1000,"CB",Overall!$F$2:$F$1000,"&gt;"&amp;C106)+1)</f>
        <v/>
      </c>
      <c r="B106" s="11" t="str">
        <f aca="false">IFERROR(INDEX(Overall!$B$2:$B$1000,MATCH("CB|105",Overall!$I$2:$I$1000,0)),"")</f>
        <v/>
      </c>
      <c r="C106" s="19" t="str">
        <f aca="false">IFERROR(INDEX(Overall!$F$2:$F$1000,MATCH("CB|105",Overall!$I$2:$I$1000,0)),"")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IF(B107="","",COUNTIFS(Overall!$C$2:$C$1000,"CB",Overall!$F$2:$F$1000,"&gt;"&amp;C107)+1)</f>
        <v/>
      </c>
      <c r="B107" s="11" t="str">
        <f aca="false">IFERROR(INDEX(Overall!$B$2:$B$1000,MATCH("CB|106",Overall!$I$2:$I$1000,0)),"")</f>
        <v/>
      </c>
      <c r="C107" s="19" t="str">
        <f aca="false">IFERROR(INDEX(Overall!$F$2:$F$1000,MATCH("CB|106",Overall!$I$2:$I$1000,0)),"")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IF(B108="","",COUNTIFS(Overall!$C$2:$C$1000,"CB",Overall!$F$2:$F$1000,"&gt;"&amp;C108)+1)</f>
        <v/>
      </c>
      <c r="B108" s="11" t="str">
        <f aca="false">IFERROR(INDEX(Overall!$B$2:$B$1000,MATCH("CB|107",Overall!$I$2:$I$1000,0)),"")</f>
        <v/>
      </c>
      <c r="C108" s="19" t="str">
        <f aca="false">IFERROR(INDEX(Overall!$F$2:$F$1000,MATCH("CB|107",Overall!$I$2:$I$1000,0)),"")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IF(B109="","",COUNTIFS(Overall!$C$2:$C$1000,"CB",Overall!$F$2:$F$1000,"&gt;"&amp;C109)+1)</f>
        <v/>
      </c>
      <c r="B109" s="11" t="str">
        <f aca="false">IFERROR(INDEX(Overall!$B$2:$B$1000,MATCH("CB|108",Overall!$I$2:$I$1000,0)),"")</f>
        <v/>
      </c>
      <c r="C109" s="19" t="str">
        <f aca="false">IFERROR(INDEX(Overall!$F$2:$F$1000,MATCH("CB|108",Overall!$I$2:$I$1000,0)),"")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IF(B110="","",COUNTIFS(Overall!$C$2:$C$1000,"CB",Overall!$F$2:$F$1000,"&gt;"&amp;C110)+1)</f>
        <v/>
      </c>
      <c r="B110" s="11" t="str">
        <f aca="false">IFERROR(INDEX(Overall!$B$2:$B$1000,MATCH("CB|109",Overall!$I$2:$I$1000,0)),"")</f>
        <v/>
      </c>
      <c r="C110" s="19" t="str">
        <f aca="false">IFERROR(INDEX(Overall!$F$2:$F$1000,MATCH("CB|109",Overall!$I$2:$I$1000,0)),"")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IF(B111="","",COUNTIFS(Overall!$C$2:$C$1000,"CB",Overall!$F$2:$F$1000,"&gt;"&amp;C111)+1)</f>
        <v/>
      </c>
      <c r="B111" s="11" t="str">
        <f aca="false">IFERROR(INDEX(Overall!$B$2:$B$1000,MATCH("CB|110",Overall!$I$2:$I$1000,0)),"")</f>
        <v/>
      </c>
      <c r="C111" s="19" t="str">
        <f aca="false">IFERROR(INDEX(Overall!$F$2:$F$1000,MATCH("CB|110",Overall!$I$2:$I$1000,0)),"")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IF(B112="","",COUNTIFS(Overall!$C$2:$C$1000,"CB",Overall!$F$2:$F$1000,"&gt;"&amp;C112)+1)</f>
        <v/>
      </c>
      <c r="B112" s="11" t="str">
        <f aca="false">IFERROR(INDEX(Overall!$B$2:$B$1000,MATCH("CB|111",Overall!$I$2:$I$1000,0)),"")</f>
        <v/>
      </c>
      <c r="C112" s="19" t="str">
        <f aca="false">IFERROR(INDEX(Overall!$F$2:$F$1000,MATCH("CB|111",Overall!$I$2:$I$1000,0)),"")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IF(B113="","",COUNTIFS(Overall!$C$2:$C$1000,"CB",Overall!$F$2:$F$1000,"&gt;"&amp;C113)+1)</f>
        <v/>
      </c>
      <c r="B113" s="11" t="str">
        <f aca="false">IFERROR(INDEX(Overall!$B$2:$B$1000,MATCH("CB|112",Overall!$I$2:$I$1000,0)),"")</f>
        <v/>
      </c>
      <c r="C113" s="19" t="str">
        <f aca="false">IFERROR(INDEX(Overall!$F$2:$F$1000,MATCH("CB|112",Overall!$I$2:$I$1000,0)),"")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IF(B114="","",COUNTIFS(Overall!$C$2:$C$1000,"CB",Overall!$F$2:$F$1000,"&gt;"&amp;C114)+1)</f>
        <v/>
      </c>
      <c r="B114" s="11" t="str">
        <f aca="false">IFERROR(INDEX(Overall!$B$2:$B$1000,MATCH("CB|113",Overall!$I$2:$I$1000,0)),"")</f>
        <v/>
      </c>
      <c r="C114" s="19" t="str">
        <f aca="false">IFERROR(INDEX(Overall!$F$2:$F$1000,MATCH("CB|113",Overall!$I$2:$I$1000,0)),"")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IF(B115="","",COUNTIFS(Overall!$C$2:$C$1000,"CB",Overall!$F$2:$F$1000,"&gt;"&amp;C115)+1)</f>
        <v/>
      </c>
      <c r="B115" s="11" t="str">
        <f aca="false">IFERROR(INDEX(Overall!$B$2:$B$1000,MATCH("CB|114",Overall!$I$2:$I$1000,0)),"")</f>
        <v/>
      </c>
      <c r="C115" s="19" t="str">
        <f aca="false">IFERROR(INDEX(Overall!$F$2:$F$1000,MATCH("CB|114",Overall!$I$2:$I$1000,0)),"")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IF(B116="","",COUNTIFS(Overall!$C$2:$C$1000,"CB",Overall!$F$2:$F$1000,"&gt;"&amp;C116)+1)</f>
        <v/>
      </c>
      <c r="B116" s="11" t="str">
        <f aca="false">IFERROR(INDEX(Overall!$B$2:$B$1000,MATCH("CB|115",Overall!$I$2:$I$1000,0)),"")</f>
        <v/>
      </c>
      <c r="C116" s="19" t="str">
        <f aca="false">IFERROR(INDEX(Overall!$F$2:$F$1000,MATCH("CB|115",Overall!$I$2:$I$1000,0)),"")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IF(B117="","",COUNTIFS(Overall!$C$2:$C$1000,"CB",Overall!$F$2:$F$1000,"&gt;"&amp;C117)+1)</f>
        <v/>
      </c>
      <c r="B117" s="11" t="str">
        <f aca="false">IFERROR(INDEX(Overall!$B$2:$B$1000,MATCH("CB|116",Overall!$I$2:$I$1000,0)),"")</f>
        <v/>
      </c>
      <c r="C117" s="19" t="str">
        <f aca="false">IFERROR(INDEX(Overall!$F$2:$F$1000,MATCH("CB|116",Overall!$I$2:$I$1000,0)),"")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IF(B118="","",COUNTIFS(Overall!$C$2:$C$1000,"CB",Overall!$F$2:$F$1000,"&gt;"&amp;C118)+1)</f>
        <v/>
      </c>
      <c r="B118" s="11" t="str">
        <f aca="false">IFERROR(INDEX(Overall!$B$2:$B$1000,MATCH("CB|117",Overall!$I$2:$I$1000,0)),"")</f>
        <v/>
      </c>
      <c r="C118" s="19" t="str">
        <f aca="false">IFERROR(INDEX(Overall!$F$2:$F$1000,MATCH("CB|117",Overall!$I$2:$I$1000,0)),"")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IF(B119="","",COUNTIFS(Overall!$C$2:$C$1000,"CB",Overall!$F$2:$F$1000,"&gt;"&amp;C119)+1)</f>
        <v/>
      </c>
      <c r="B119" s="11" t="str">
        <f aca="false">IFERROR(INDEX(Overall!$B$2:$B$1000,MATCH("CB|118",Overall!$I$2:$I$1000,0)),"")</f>
        <v/>
      </c>
      <c r="C119" s="19" t="str">
        <f aca="false">IFERROR(INDEX(Overall!$F$2:$F$1000,MATCH("CB|118",Overall!$I$2:$I$1000,0)),"")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IF(B120="","",COUNTIFS(Overall!$C$2:$C$1000,"CB",Overall!$F$2:$F$1000,"&gt;"&amp;C120)+1)</f>
        <v/>
      </c>
      <c r="B120" s="11" t="str">
        <f aca="false">IFERROR(INDEX(Overall!$B$2:$B$1000,MATCH("CB|119",Overall!$I$2:$I$1000,0)),"")</f>
        <v/>
      </c>
      <c r="C120" s="19" t="str">
        <f aca="false">IFERROR(INDEX(Overall!$F$2:$F$1000,MATCH("CB|119",Overall!$I$2:$I$1000,0)),"")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IF(B121="","",COUNTIFS(Overall!$C$2:$C$1000,"CB",Overall!$F$2:$F$1000,"&gt;"&amp;C121)+1)</f>
        <v/>
      </c>
      <c r="B121" s="11" t="str">
        <f aca="false">IFERROR(INDEX(Overall!$B$2:$B$1000,MATCH("CB|120",Overall!$I$2:$I$1000,0)),"")</f>
        <v/>
      </c>
      <c r="C121" s="19" t="str">
        <f aca="false">IFERROR(INDEX(Overall!$F$2:$F$1000,MATCH("CB|120",Overall!$I$2:$I$1000,0)),"")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IF(B122="","",COUNTIFS(Overall!$C$2:$C$1000,"CB",Overall!$F$2:$F$1000,"&gt;"&amp;C122)+1)</f>
        <v/>
      </c>
      <c r="B122" s="11" t="str">
        <f aca="false">IFERROR(INDEX(Overall!$B$2:$B$1000,MATCH("CB|121",Overall!$I$2:$I$1000,0)),"")</f>
        <v/>
      </c>
      <c r="C122" s="19" t="str">
        <f aca="false">IFERROR(INDEX(Overall!$F$2:$F$1000,MATCH("CB|121",Overall!$I$2:$I$1000,0)),"")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IF(B123="","",COUNTIFS(Overall!$C$2:$C$1000,"CB",Overall!$F$2:$F$1000,"&gt;"&amp;C123)+1)</f>
        <v/>
      </c>
      <c r="B123" s="11" t="str">
        <f aca="false">IFERROR(INDEX(Overall!$B$2:$B$1000,MATCH("CB|122",Overall!$I$2:$I$1000,0)),"")</f>
        <v/>
      </c>
      <c r="C123" s="19" t="str">
        <f aca="false">IFERROR(INDEX(Overall!$F$2:$F$1000,MATCH("CB|122",Overall!$I$2:$I$1000,0)),"")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IF(B124="","",COUNTIFS(Overall!$C$2:$C$1000,"CB",Overall!$F$2:$F$1000,"&gt;"&amp;C124)+1)</f>
        <v/>
      </c>
      <c r="B124" s="11" t="str">
        <f aca="false">IFERROR(INDEX(Overall!$B$2:$B$1000,MATCH("CB|123",Overall!$I$2:$I$1000,0)),"")</f>
        <v/>
      </c>
      <c r="C124" s="19" t="str">
        <f aca="false">IFERROR(INDEX(Overall!$F$2:$F$1000,MATCH("CB|123",Overall!$I$2:$I$1000,0)),"")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IF(B125="","",COUNTIFS(Overall!$C$2:$C$1000,"CB",Overall!$F$2:$F$1000,"&gt;"&amp;C125)+1)</f>
        <v/>
      </c>
      <c r="B125" s="11" t="str">
        <f aca="false">IFERROR(INDEX(Overall!$B$2:$B$1000,MATCH("CB|124",Overall!$I$2:$I$1000,0)),"")</f>
        <v/>
      </c>
      <c r="C125" s="19" t="str">
        <f aca="false">IFERROR(INDEX(Overall!$F$2:$F$1000,MATCH("CB|124",Overall!$I$2:$I$1000,0)),"")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IF(B126="","",COUNTIFS(Overall!$C$2:$C$1000,"CB",Overall!$F$2:$F$1000,"&gt;"&amp;C126)+1)</f>
        <v/>
      </c>
      <c r="B126" s="11" t="str">
        <f aca="false">IFERROR(INDEX(Overall!$B$2:$B$1000,MATCH("CB|125",Overall!$I$2:$I$1000,0)),"")</f>
        <v/>
      </c>
      <c r="C126" s="19" t="str">
        <f aca="false">IFERROR(INDEX(Overall!$F$2:$F$1000,MATCH("CB|125",Overall!$I$2:$I$1000,0)),"")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IF(B127="","",COUNTIFS(Overall!$C$2:$C$1000,"CB",Overall!$F$2:$F$1000,"&gt;"&amp;C127)+1)</f>
        <v/>
      </c>
      <c r="B127" s="11" t="str">
        <f aca="false">IFERROR(INDEX(Overall!$B$2:$B$1000,MATCH("CB|126",Overall!$I$2:$I$1000,0)),"")</f>
        <v/>
      </c>
      <c r="C127" s="19" t="str">
        <f aca="false">IFERROR(INDEX(Overall!$F$2:$F$1000,MATCH("CB|126",Overall!$I$2:$I$1000,0)),"")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IF(B128="","",COUNTIFS(Overall!$C$2:$C$1000,"CB",Overall!$F$2:$F$1000,"&gt;"&amp;C128)+1)</f>
        <v/>
      </c>
      <c r="B128" s="11" t="str">
        <f aca="false">IFERROR(INDEX(Overall!$B$2:$B$1000,MATCH("CB|127",Overall!$I$2:$I$1000,0)),"")</f>
        <v/>
      </c>
      <c r="C128" s="19" t="str">
        <f aca="false">IFERROR(INDEX(Overall!$F$2:$F$1000,MATCH("CB|127",Overall!$I$2:$I$1000,0)),"")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IF(B129="","",COUNTIFS(Overall!$C$2:$C$1000,"CB",Overall!$F$2:$F$1000,"&gt;"&amp;C129)+1)</f>
        <v/>
      </c>
      <c r="B129" s="11" t="str">
        <f aca="false">IFERROR(INDEX(Overall!$B$2:$B$1000,MATCH("CB|128",Overall!$I$2:$I$1000,0)),"")</f>
        <v/>
      </c>
      <c r="C129" s="19" t="str">
        <f aca="false">IFERROR(INDEX(Overall!$F$2:$F$1000,MATCH("CB|128",Overall!$I$2:$I$1000,0)),"")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IF(B130="","",COUNTIFS(Overall!$C$2:$C$1000,"CB",Overall!$F$2:$F$1000,"&gt;"&amp;C130)+1)</f>
        <v/>
      </c>
      <c r="B130" s="11" t="str">
        <f aca="false">IFERROR(INDEX(Overall!$B$2:$B$1000,MATCH("CB|129",Overall!$I$2:$I$1000,0)),"")</f>
        <v/>
      </c>
      <c r="C130" s="19" t="str">
        <f aca="false">IFERROR(INDEX(Overall!$F$2:$F$1000,MATCH("CB|129",Overall!$I$2:$I$1000,0)),"")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IF(B131="","",COUNTIFS(Overall!$C$2:$C$1000,"CB",Overall!$F$2:$F$1000,"&gt;"&amp;C131)+1)</f>
        <v/>
      </c>
      <c r="B131" s="11" t="str">
        <f aca="false">IFERROR(INDEX(Overall!$B$2:$B$1000,MATCH("CB|130",Overall!$I$2:$I$1000,0)),"")</f>
        <v/>
      </c>
      <c r="C131" s="19" t="str">
        <f aca="false">IFERROR(INDEX(Overall!$F$2:$F$1000,MATCH("CB|130",Overall!$I$2:$I$1000,0)),"")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IF(B132="","",COUNTIFS(Overall!$C$2:$C$1000,"CB",Overall!$F$2:$F$1000,"&gt;"&amp;C132)+1)</f>
        <v/>
      </c>
      <c r="B132" s="11" t="str">
        <f aca="false">IFERROR(INDEX(Overall!$B$2:$B$1000,MATCH("CB|131",Overall!$I$2:$I$1000,0)),"")</f>
        <v/>
      </c>
      <c r="C132" s="19" t="str">
        <f aca="false">IFERROR(INDEX(Overall!$F$2:$F$1000,MATCH("CB|131",Overall!$I$2:$I$1000,0)),"")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IF(B133="","",COUNTIFS(Overall!$C$2:$C$1000,"CB",Overall!$F$2:$F$1000,"&gt;"&amp;C133)+1)</f>
        <v/>
      </c>
      <c r="B133" s="11" t="str">
        <f aca="false">IFERROR(INDEX(Overall!$B$2:$B$1000,MATCH("CB|132",Overall!$I$2:$I$1000,0)),"")</f>
        <v/>
      </c>
      <c r="C133" s="19" t="str">
        <f aca="false">IFERROR(INDEX(Overall!$F$2:$F$1000,MATCH("CB|132",Overall!$I$2:$I$1000,0)),"")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IF(B134="","",COUNTIFS(Overall!$C$2:$C$1000,"CB",Overall!$F$2:$F$1000,"&gt;"&amp;C134)+1)</f>
        <v/>
      </c>
      <c r="B134" s="11" t="str">
        <f aca="false">IFERROR(INDEX(Overall!$B$2:$B$1000,MATCH("CB|133",Overall!$I$2:$I$1000,0)),"")</f>
        <v/>
      </c>
      <c r="C134" s="19" t="str">
        <f aca="false">IFERROR(INDEX(Overall!$F$2:$F$1000,MATCH("CB|133",Overall!$I$2:$I$1000,0)),"")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IF(B135="","",COUNTIFS(Overall!$C$2:$C$1000,"CB",Overall!$F$2:$F$1000,"&gt;"&amp;C135)+1)</f>
        <v/>
      </c>
      <c r="B135" s="11" t="str">
        <f aca="false">IFERROR(INDEX(Overall!$B$2:$B$1000,MATCH("CB|134",Overall!$I$2:$I$1000,0)),"")</f>
        <v/>
      </c>
      <c r="C135" s="19" t="str">
        <f aca="false">IFERROR(INDEX(Overall!$F$2:$F$1000,MATCH("CB|134",Overall!$I$2:$I$1000,0)),"")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IF(B136="","",COUNTIFS(Overall!$C$2:$C$1000,"CB",Overall!$F$2:$F$1000,"&gt;"&amp;C136)+1)</f>
        <v/>
      </c>
      <c r="B136" s="11" t="str">
        <f aca="false">IFERROR(INDEX(Overall!$B$2:$B$1000,MATCH("CB|135",Overall!$I$2:$I$1000,0)),"")</f>
        <v/>
      </c>
      <c r="C136" s="19" t="str">
        <f aca="false">IFERROR(INDEX(Overall!$F$2:$F$1000,MATCH("CB|135",Overall!$I$2:$I$1000,0)),"")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IF(B137="","",COUNTIFS(Overall!$C$2:$C$1000,"CB",Overall!$F$2:$F$1000,"&gt;"&amp;C137)+1)</f>
        <v/>
      </c>
      <c r="B137" s="11" t="str">
        <f aca="false">IFERROR(INDEX(Overall!$B$2:$B$1000,MATCH("CB|136",Overall!$I$2:$I$1000,0)),"")</f>
        <v/>
      </c>
      <c r="C137" s="19" t="str">
        <f aca="false">IFERROR(INDEX(Overall!$F$2:$F$1000,MATCH("CB|136",Overall!$I$2:$I$1000,0)),"")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IF(B138="","",COUNTIFS(Overall!$C$2:$C$1000,"CB",Overall!$F$2:$F$1000,"&gt;"&amp;C138)+1)</f>
        <v/>
      </c>
      <c r="B138" s="11" t="str">
        <f aca="false">IFERROR(INDEX(Overall!$B$2:$B$1000,MATCH("CB|137",Overall!$I$2:$I$1000,0)),"")</f>
        <v/>
      </c>
      <c r="C138" s="19" t="str">
        <f aca="false">IFERROR(INDEX(Overall!$F$2:$F$1000,MATCH("CB|137",Overall!$I$2:$I$1000,0)),"")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IF(B139="","",COUNTIFS(Overall!$C$2:$C$1000,"CB",Overall!$F$2:$F$1000,"&gt;"&amp;C139)+1)</f>
        <v/>
      </c>
      <c r="B139" s="11" t="str">
        <f aca="false">IFERROR(INDEX(Overall!$B$2:$B$1000,MATCH("CB|138",Overall!$I$2:$I$1000,0)),"")</f>
        <v/>
      </c>
      <c r="C139" s="19" t="str">
        <f aca="false">IFERROR(INDEX(Overall!$F$2:$F$1000,MATCH("CB|138",Overall!$I$2:$I$1000,0)),"")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IF(B140="","",COUNTIFS(Overall!$C$2:$C$1000,"CB",Overall!$F$2:$F$1000,"&gt;"&amp;C140)+1)</f>
        <v/>
      </c>
      <c r="B140" s="11" t="str">
        <f aca="false">IFERROR(INDEX(Overall!$B$2:$B$1000,MATCH("CB|139",Overall!$I$2:$I$1000,0)),"")</f>
        <v/>
      </c>
      <c r="C140" s="19" t="str">
        <f aca="false">IFERROR(INDEX(Overall!$F$2:$F$1000,MATCH("CB|139",Overall!$I$2:$I$1000,0)),"")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IF(B141="","",COUNTIFS(Overall!$C$2:$C$1000,"CB",Overall!$F$2:$F$1000,"&gt;"&amp;C141)+1)</f>
        <v/>
      </c>
      <c r="B141" s="11" t="str">
        <f aca="false">IFERROR(INDEX(Overall!$B$2:$B$1000,MATCH("CB|140",Overall!$I$2:$I$1000,0)),"")</f>
        <v/>
      </c>
      <c r="C141" s="19" t="str">
        <f aca="false">IFERROR(INDEX(Overall!$F$2:$F$1000,MATCH("CB|140",Overall!$I$2:$I$1000,0)),"")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IF(B142="","",COUNTIFS(Overall!$C$2:$C$1000,"CB",Overall!$F$2:$F$1000,"&gt;"&amp;C142)+1)</f>
        <v/>
      </c>
      <c r="B142" s="11" t="str">
        <f aca="false">IFERROR(INDEX(Overall!$B$2:$B$1000,MATCH("CB|141",Overall!$I$2:$I$1000,0)),"")</f>
        <v/>
      </c>
      <c r="C142" s="19" t="str">
        <f aca="false">IFERROR(INDEX(Overall!$F$2:$F$1000,MATCH("CB|141",Overall!$I$2:$I$1000,0)),"")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IF(B143="","",COUNTIFS(Overall!$C$2:$C$1000,"CB",Overall!$F$2:$F$1000,"&gt;"&amp;C143)+1)</f>
        <v/>
      </c>
      <c r="B143" s="11" t="str">
        <f aca="false">IFERROR(INDEX(Overall!$B$2:$B$1000,MATCH("CB|142",Overall!$I$2:$I$1000,0)),"")</f>
        <v/>
      </c>
      <c r="C143" s="19" t="str">
        <f aca="false">IFERROR(INDEX(Overall!$F$2:$F$1000,MATCH("CB|142",Overall!$I$2:$I$1000,0)),"")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IF(B144="","",COUNTIFS(Overall!$C$2:$C$1000,"CB",Overall!$F$2:$F$1000,"&gt;"&amp;C144)+1)</f>
        <v/>
      </c>
      <c r="B144" s="11" t="str">
        <f aca="false">IFERROR(INDEX(Overall!$B$2:$B$1000,MATCH("CB|143",Overall!$I$2:$I$1000,0)),"")</f>
        <v/>
      </c>
      <c r="C144" s="19" t="str">
        <f aca="false">IFERROR(INDEX(Overall!$F$2:$F$1000,MATCH("CB|143",Overall!$I$2:$I$1000,0)),"")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IF(B145="","",COUNTIFS(Overall!$C$2:$C$1000,"CB",Overall!$F$2:$F$1000,"&gt;"&amp;C145)+1)</f>
        <v/>
      </c>
      <c r="B145" s="11" t="str">
        <f aca="false">IFERROR(INDEX(Overall!$B$2:$B$1000,MATCH("CB|144",Overall!$I$2:$I$1000,0)),"")</f>
        <v/>
      </c>
      <c r="C145" s="19" t="str">
        <f aca="false">IFERROR(INDEX(Overall!$F$2:$F$1000,MATCH("CB|144",Overall!$I$2:$I$1000,0)),"")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IF(B146="","",COUNTIFS(Overall!$C$2:$C$1000,"CB",Overall!$F$2:$F$1000,"&gt;"&amp;C146)+1)</f>
        <v/>
      </c>
      <c r="B146" s="11" t="str">
        <f aca="false">IFERROR(INDEX(Overall!$B$2:$B$1000,MATCH("CB|145",Overall!$I$2:$I$1000,0)),"")</f>
        <v/>
      </c>
      <c r="C146" s="19" t="str">
        <f aca="false">IFERROR(INDEX(Overall!$F$2:$F$1000,MATCH("CB|145",Overall!$I$2:$I$1000,0)),"")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IF(B147="","",COUNTIFS(Overall!$C$2:$C$1000,"CB",Overall!$F$2:$F$1000,"&gt;"&amp;C147)+1)</f>
        <v/>
      </c>
      <c r="B147" s="11" t="str">
        <f aca="false">IFERROR(INDEX(Overall!$B$2:$B$1000,MATCH("CB|146",Overall!$I$2:$I$1000,0)),"")</f>
        <v/>
      </c>
      <c r="C147" s="19" t="str">
        <f aca="false">IFERROR(INDEX(Overall!$F$2:$F$1000,MATCH("CB|146",Overall!$I$2:$I$1000,0)),"")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IF(B148="","",COUNTIFS(Overall!$C$2:$C$1000,"CB",Overall!$F$2:$F$1000,"&gt;"&amp;C148)+1)</f>
        <v/>
      </c>
      <c r="B148" s="11" t="str">
        <f aca="false">IFERROR(INDEX(Overall!$B$2:$B$1000,MATCH("CB|147",Overall!$I$2:$I$1000,0)),"")</f>
        <v/>
      </c>
      <c r="C148" s="19" t="str">
        <f aca="false">IFERROR(INDEX(Overall!$F$2:$F$1000,MATCH("CB|147",Overall!$I$2:$I$1000,0)),"")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IF(B149="","",COUNTIFS(Overall!$C$2:$C$1000,"CB",Overall!$F$2:$F$1000,"&gt;"&amp;C149)+1)</f>
        <v/>
      </c>
      <c r="B149" s="11" t="str">
        <f aca="false">IFERROR(INDEX(Overall!$B$2:$B$1000,MATCH("CB|148",Overall!$I$2:$I$1000,0)),"")</f>
        <v/>
      </c>
      <c r="C149" s="19" t="str">
        <f aca="false">IFERROR(INDEX(Overall!$F$2:$F$1000,MATCH("CB|148",Overall!$I$2:$I$1000,0)),"")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IF(B150="","",COUNTIFS(Overall!$C$2:$C$1000,"CB",Overall!$F$2:$F$1000,"&gt;"&amp;C150)+1)</f>
        <v/>
      </c>
      <c r="B150" s="11" t="str">
        <f aca="false">IFERROR(INDEX(Overall!$B$2:$B$1000,MATCH("CB|149",Overall!$I$2:$I$1000,0)),"")</f>
        <v/>
      </c>
      <c r="C150" s="19" t="str">
        <f aca="false">IFERROR(INDEX(Overall!$F$2:$F$1000,MATCH("CB|149",Overall!$I$2:$I$1000,0)),"")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IF(B151="","",COUNTIFS(Overall!$C$2:$C$1000,"CB",Overall!$F$2:$F$1000,"&gt;"&amp;C151)+1)</f>
        <v/>
      </c>
      <c r="B151" s="11" t="str">
        <f aca="false">IFERROR(INDEX(Overall!$B$2:$B$1000,MATCH("CB|150",Overall!$I$2:$I$1000,0)),"")</f>
        <v/>
      </c>
      <c r="C151" s="19" t="str">
        <f aca="false">IFERROR(INDEX(Overall!$F$2:$F$1000,MATCH("CB|150",Overall!$I$2:$I$1000,0)),"")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E4F0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IF(B2="","",COUNTIFS(Overall!$C$2:$C$1000,"LB",Overall!$F$2:$F$1000,"&gt;"&amp;C2)+1)</f>
        <v>1</v>
      </c>
      <c r="B2" s="11" t="str">
        <f aca="false">IFERROR(INDEX(Overall!$B$2:$B$1000,MATCH("LB|1",Overall!$I$2:$I$1000,0)),"")</f>
        <v>Sasuke</v>
      </c>
      <c r="C2" s="19" t="n">
        <f aca="false">IFERROR(INDEX(Overall!$F$2:$F$1000,MATCH("LB|1",Overall!$I$2:$I$1000,0)),"")</f>
        <v>108</v>
      </c>
    </row>
    <row r="3" customFormat="false" ht="15" hidden="false" customHeight="false" outlineLevel="0" collapsed="false">
      <c r="A3" s="22" t="n">
        <f aca="false">IF(B3="","",COUNTIFS(Overall!$C$2:$C$1000,"LB",Overall!$F$2:$F$1000,"&gt;"&amp;C3)+1)</f>
        <v>2</v>
      </c>
      <c r="B3" s="11" t="str">
        <f aca="false">IFERROR(INDEX(Overall!$B$2:$B$1000,MATCH("LB|2",Overall!$I$2:$I$1000,0)),"")</f>
        <v>Scimmia Monkey</v>
      </c>
      <c r="C3" s="19" t="n">
        <f aca="false">IFERROR(INDEX(Overall!$F$2:$F$1000,MATCH("LB|2",Overall!$I$2:$I$1000,0)),"")</f>
        <v>94</v>
      </c>
    </row>
    <row r="4" customFormat="false" ht="15" hidden="false" customHeight="false" outlineLevel="0" collapsed="false">
      <c r="A4" s="22" t="n">
        <f aca="false">IF(B4="","",COUNTIFS(Overall!$C$2:$C$1000,"LB",Overall!$F$2:$F$1000,"&gt;"&amp;C4)+1)</f>
        <v>3</v>
      </c>
      <c r="B4" s="11" t="str">
        <f aca="false">IFERROR(INDEX(Overall!$B$2:$B$1000,MATCH("LB|3",Overall!$I$2:$I$1000,0)),"")</f>
        <v>Poly</v>
      </c>
      <c r="C4" s="19" t="n">
        <f aca="false">IFERROR(INDEX(Overall!$F$2:$F$1000,MATCH("LB|3",Overall!$I$2:$I$1000,0)),"")</f>
        <v>92</v>
      </c>
    </row>
    <row r="5" customFormat="false" ht="15" hidden="false" customHeight="false" outlineLevel="0" collapsed="false">
      <c r="A5" s="22" t="n">
        <f aca="false">IF(B5="","",COUNTIFS(Overall!$C$2:$C$1000,"LB",Overall!$F$2:$F$1000,"&gt;"&amp;C5)+1)</f>
        <v>4</v>
      </c>
      <c r="B5" s="11" t="str">
        <f aca="false">IFERROR(INDEX(Overall!$B$2:$B$1000,MATCH("LB|4",Overall!$I$2:$I$1000,0)),"")</f>
        <v>Francesca Martella</v>
      </c>
      <c r="C5" s="19" t="n">
        <f aca="false">IFERROR(INDEX(Overall!$F$2:$F$1000,MATCH("LB|4",Overall!$I$2:$I$1000,0)),"")</f>
        <v>90</v>
      </c>
    </row>
    <row r="6" customFormat="false" ht="15" hidden="false" customHeight="false" outlineLevel="0" collapsed="false">
      <c r="A6" s="22" t="n">
        <f aca="false">IF(B6="","",COUNTIFS(Overall!$C$2:$C$1000,"LB",Overall!$F$2:$F$1000,"&gt;"&amp;C6)+1)</f>
        <v>5</v>
      </c>
      <c r="B6" s="11" t="str">
        <f aca="false">IFERROR(INDEX(Overall!$B$2:$B$1000,MATCH("LB|5",Overall!$I$2:$I$1000,0)),"")</f>
        <v>Brook</v>
      </c>
      <c r="C6" s="19" t="n">
        <f aca="false">IFERROR(INDEX(Overall!$F$2:$F$1000,MATCH("LB|5",Overall!$I$2:$I$1000,0)),"")</f>
        <v>88</v>
      </c>
    </row>
    <row r="7" customFormat="false" ht="15" hidden="false" customHeight="false" outlineLevel="0" collapsed="false">
      <c r="A7" s="22" t="n">
        <f aca="false">IF(B7="","",COUNTIFS(Overall!$C$2:$C$1000,"LB",Overall!$F$2:$F$1000,"&gt;"&amp;C7)+1)</f>
        <v>6</v>
      </c>
      <c r="B7" s="11" t="str">
        <f aca="false">IFERROR(INDEX(Overall!$B$2:$B$1000,MATCH("LB|6",Overall!$I$2:$I$1000,0)),"")</f>
        <v>Mike Wazowski</v>
      </c>
      <c r="C7" s="19" t="n">
        <f aca="false">IFERROR(INDEX(Overall!$F$2:$F$1000,MATCH("LB|6",Overall!$I$2:$I$1000,0)),"")</f>
        <v>87</v>
      </c>
    </row>
    <row r="8" customFormat="false" ht="15" hidden="false" customHeight="false" outlineLevel="0" collapsed="false">
      <c r="A8" s="22" t="n">
        <f aca="false">IF(B8="","",COUNTIFS(Overall!$C$2:$C$1000,"LB",Overall!$F$2:$F$1000,"&gt;"&amp;C8)+1)</f>
        <v>7</v>
      </c>
      <c r="B8" s="11" t="str">
        <f aca="false">IFERROR(INDEX(Overall!$B$2:$B$1000,MATCH("LB|7",Overall!$I$2:$I$1000,0)),"")</f>
        <v>Sanji</v>
      </c>
      <c r="C8" s="19" t="n">
        <f aca="false">IFERROR(INDEX(Overall!$F$2:$F$1000,MATCH("LB|7",Overall!$I$2:$I$1000,0)),"")</f>
        <v>84</v>
      </c>
    </row>
    <row r="9" customFormat="false" ht="15" hidden="false" customHeight="false" outlineLevel="0" collapsed="false">
      <c r="A9" s="22" t="n">
        <f aca="false">IF(B9="","",COUNTIFS(Overall!$C$2:$C$1000,"LB",Overall!$F$2:$F$1000,"&gt;"&amp;C9)+1)</f>
        <v>7</v>
      </c>
      <c r="B9" s="11" t="str">
        <f aca="false">IFERROR(INDEX(Overall!$B$2:$B$1000,MATCH("LB|8",Overall!$I$2:$I$1000,0)),"")</f>
        <v>Hurley Kane</v>
      </c>
      <c r="C9" s="19" t="n">
        <f aca="false">IFERROR(INDEX(Overall!$F$2:$F$1000,MATCH("LB|8",Overall!$I$2:$I$1000,0)),"")</f>
        <v>84</v>
      </c>
    </row>
    <row r="10" customFormat="false" ht="15" hidden="false" customHeight="false" outlineLevel="0" collapsed="false">
      <c r="A10" s="22" t="n">
        <f aca="false">IF(B10="","",COUNTIFS(Overall!$C$2:$C$1000,"LB",Overall!$F$2:$F$1000,"&gt;"&amp;C10)+1)</f>
        <v>7</v>
      </c>
      <c r="B10" s="11" t="str">
        <f aca="false">IFERROR(INDEX(Overall!$B$2:$B$1000,MATCH("LB|9",Overall!$I$2:$I$1000,0)),"")</f>
        <v>Chance the rapper</v>
      </c>
      <c r="C10" s="19" t="n">
        <f aca="false">IFERROR(INDEX(Overall!$F$2:$F$1000,MATCH("LB|9",Overall!$I$2:$I$1000,0)),"")</f>
        <v>84</v>
      </c>
    </row>
    <row r="11" customFormat="false" ht="15" hidden="false" customHeight="false" outlineLevel="0" collapsed="false">
      <c r="A11" s="22" t="n">
        <f aca="false">IF(B11="","",COUNTIFS(Overall!$C$2:$C$1000,"LB",Overall!$F$2:$F$1000,"&gt;"&amp;C11)+1)</f>
        <v>7</v>
      </c>
      <c r="B11" s="11" t="str">
        <f aca="false">IFERROR(INDEX(Overall!$B$2:$B$1000,MATCH("LB|10",Overall!$I$2:$I$1000,0)),"")</f>
        <v>Black panther</v>
      </c>
      <c r="C11" s="19" t="n">
        <f aca="false">IFERROR(INDEX(Overall!$F$2:$F$1000,MATCH("LB|10",Overall!$I$2:$I$1000,0)),"")</f>
        <v>84</v>
      </c>
    </row>
    <row r="12" customFormat="false" ht="15" hidden="false" customHeight="false" outlineLevel="0" collapsed="false">
      <c r="A12" s="22" t="n">
        <f aca="false">IF(B12="","",COUNTIFS(Overall!$C$2:$C$1000,"LB",Overall!$F$2:$F$1000,"&gt;"&amp;C12)+1)</f>
        <v>11</v>
      </c>
      <c r="B12" s="11" t="str">
        <f aca="false">IFERROR(INDEX(Overall!$B$2:$B$1000,MATCH("LB|11",Overall!$I$2:$I$1000,0)),"")</f>
        <v>Waluigi</v>
      </c>
      <c r="C12" s="19" t="n">
        <f aca="false">IFERROR(INDEX(Overall!$F$2:$F$1000,MATCH("LB|11",Overall!$I$2:$I$1000,0)),"")</f>
        <v>83</v>
      </c>
    </row>
    <row r="13" customFormat="false" ht="15" hidden="false" customHeight="false" outlineLevel="0" collapsed="false">
      <c r="A13" s="22" t="n">
        <f aca="false">IF(B13="","",COUNTIFS(Overall!$C$2:$C$1000,"LB",Overall!$F$2:$F$1000,"&gt;"&amp;C13)+1)</f>
        <v>11</v>
      </c>
      <c r="B13" s="11" t="str">
        <f aca="false">IFERROR(INDEX(Overall!$B$2:$B$1000,MATCH("LB|12",Overall!$I$2:$I$1000,0)),"")</f>
        <v>Jose Angel</v>
      </c>
      <c r="C13" s="19" t="n">
        <f aca="false">IFERROR(INDEX(Overall!$F$2:$F$1000,MATCH("LB|12",Overall!$I$2:$I$1000,0)),"")</f>
        <v>83</v>
      </c>
    </row>
    <row r="14" customFormat="false" ht="15" hidden="false" customHeight="false" outlineLevel="0" collapsed="false">
      <c r="A14" s="22" t="n">
        <f aca="false">IF(B14="","",COUNTIFS(Overall!$C$2:$C$1000,"LB",Overall!$F$2:$F$1000,"&gt;"&amp;C14)+1)</f>
        <v>13</v>
      </c>
      <c r="B14" s="11" t="str">
        <f aca="false">IFERROR(INDEX(Overall!$B$2:$B$1000,MATCH("LB|13",Overall!$I$2:$I$1000,0)),"")</f>
        <v>Simba</v>
      </c>
      <c r="C14" s="19" t="n">
        <f aca="false">IFERROR(INDEX(Overall!$F$2:$F$1000,MATCH("LB|13",Overall!$I$2:$I$1000,0)),"")</f>
        <v>82</v>
      </c>
    </row>
    <row r="15" customFormat="false" ht="15" hidden="false" customHeight="false" outlineLevel="0" collapsed="false">
      <c r="A15" s="22" t="n">
        <f aca="false">IF(B15="","",COUNTIFS(Overall!$C$2:$C$1000,"LB",Overall!$F$2:$F$1000,"&gt;"&amp;C15)+1)</f>
        <v>13</v>
      </c>
      <c r="B15" s="11" t="str">
        <f aca="false">IFERROR(INDEX(Overall!$B$2:$B$1000,MATCH("LB|14",Overall!$I$2:$I$1000,0)),"")</f>
        <v>Marge Simpson</v>
      </c>
      <c r="C15" s="19" t="n">
        <f aca="false">IFERROR(INDEX(Overall!$F$2:$F$1000,MATCH("LB|14",Overall!$I$2:$I$1000,0)),"")</f>
        <v>82</v>
      </c>
    </row>
    <row r="16" customFormat="false" ht="15" hidden="false" customHeight="false" outlineLevel="0" collapsed="false">
      <c r="A16" s="22" t="n">
        <f aca="false">IF(B16="","",COUNTIFS(Overall!$C$2:$C$1000,"LB",Overall!$F$2:$F$1000,"&gt;"&amp;C16)+1)</f>
        <v>13</v>
      </c>
      <c r="B16" s="11" t="str">
        <f aca="false">IFERROR(INDEX(Overall!$B$2:$B$1000,MATCH("LB|15",Overall!$I$2:$I$1000,0)),"")</f>
        <v>Bert</v>
      </c>
      <c r="C16" s="19" t="n">
        <f aca="false">IFERROR(INDEX(Overall!$F$2:$F$1000,MATCH("LB|15",Overall!$I$2:$I$1000,0)),"")</f>
        <v>82</v>
      </c>
    </row>
    <row r="17" customFormat="false" ht="15" hidden="false" customHeight="false" outlineLevel="0" collapsed="false">
      <c r="A17" s="22" t="n">
        <f aca="false">IF(B17="","",COUNTIFS(Overall!$C$2:$C$1000,"LB",Overall!$F$2:$F$1000,"&gt;"&amp;C17)+1)</f>
        <v>13</v>
      </c>
      <c r="B17" s="11" t="str">
        <f aca="false">IFERROR(INDEX(Overall!$B$2:$B$1000,MATCH("LB|16",Overall!$I$2:$I$1000,0)),"")</f>
        <v>Dynamike</v>
      </c>
      <c r="C17" s="19" t="n">
        <f aca="false">IFERROR(INDEX(Overall!$F$2:$F$1000,MATCH("LB|16",Overall!$I$2:$I$1000,0)),"")</f>
        <v>82</v>
      </c>
    </row>
    <row r="18" customFormat="false" ht="15" hidden="false" customHeight="false" outlineLevel="0" collapsed="false">
      <c r="A18" s="22" t="n">
        <f aca="false">IF(B18="","",COUNTIFS(Overall!$C$2:$C$1000,"LB",Overall!$F$2:$F$1000,"&gt;"&amp;C18)+1)</f>
        <v>17</v>
      </c>
      <c r="B18" s="11" t="str">
        <f aca="false">IFERROR(INDEX(Overall!$B$2:$B$1000,MATCH("LB|17",Overall!$I$2:$I$1000,0)),"")</f>
        <v>Tweety</v>
      </c>
      <c r="C18" s="19" t="n">
        <f aca="false">IFERROR(INDEX(Overall!$F$2:$F$1000,MATCH("LB|17",Overall!$I$2:$I$1000,0)),"")</f>
        <v>81</v>
      </c>
    </row>
    <row r="19" customFormat="false" ht="15" hidden="false" customHeight="false" outlineLevel="0" collapsed="false">
      <c r="A19" s="22" t="n">
        <f aca="false">IF(B19="","",COUNTIFS(Overall!$C$2:$C$1000,"LB",Overall!$F$2:$F$1000,"&gt;"&amp;C19)+1)</f>
        <v>17</v>
      </c>
      <c r="B19" s="11" t="str">
        <f aca="false">IFERROR(INDEX(Overall!$B$2:$B$1000,MATCH("LB|18",Overall!$I$2:$I$1000,0)),"")</f>
        <v>Greenway</v>
      </c>
      <c r="C19" s="19" t="n">
        <f aca="false">IFERROR(INDEX(Overall!$F$2:$F$1000,MATCH("LB|18",Overall!$I$2:$I$1000,0)),"")</f>
        <v>81</v>
      </c>
    </row>
    <row r="20" customFormat="false" ht="15" hidden="false" customHeight="false" outlineLevel="0" collapsed="false">
      <c r="A20" s="22" t="n">
        <f aca="false">IF(B20="","",COUNTIFS(Overall!$C$2:$C$1000,"LB",Overall!$F$2:$F$1000,"&gt;"&amp;C20)+1)</f>
        <v>19</v>
      </c>
      <c r="B20" s="11" t="str">
        <f aca="false">IFERROR(INDEX(Overall!$B$2:$B$1000,MATCH("LB|19",Overall!$I$2:$I$1000,0)),"")</f>
        <v>Aquaman</v>
      </c>
      <c r="C20" s="19" t="n">
        <f aca="false">IFERROR(INDEX(Overall!$F$2:$F$1000,MATCH("LB|19",Overall!$I$2:$I$1000,0)),"")</f>
        <v>80</v>
      </c>
    </row>
    <row r="21" customFormat="false" ht="15" hidden="false" customHeight="false" outlineLevel="0" collapsed="false">
      <c r="A21" s="22" t="n">
        <f aca="false">IF(B21="","",COUNTIFS(Overall!$C$2:$C$1000,"LB",Overall!$F$2:$F$1000,"&gt;"&amp;C21)+1)</f>
        <v>20</v>
      </c>
      <c r="B21" s="11" t="str">
        <f aca="false">IFERROR(INDEX(Overall!$B$2:$B$1000,MATCH("LB|20",Overall!$I$2:$I$1000,0)),"")</f>
        <v>Bo</v>
      </c>
      <c r="C21" s="19" t="n">
        <f aca="false">IFERROR(INDEX(Overall!$F$2:$F$1000,MATCH("LB|20",Overall!$I$2:$I$1000,0)),"")</f>
        <v>79</v>
      </c>
    </row>
    <row r="22" customFormat="false" ht="15" hidden="false" customHeight="false" outlineLevel="0" collapsed="false">
      <c r="A22" s="22" t="n">
        <f aca="false">IF(B22="","",COUNTIFS(Overall!$C$2:$C$1000,"LB",Overall!$F$2:$F$1000,"&gt;"&amp;C22)+1)</f>
        <v>21</v>
      </c>
      <c r="B22" s="11" t="str">
        <f aca="false">IFERROR(INDEX(Overall!$B$2:$B$1000,MATCH("LB|21",Overall!$I$2:$I$1000,0)),"")</f>
        <v>Yamcha</v>
      </c>
      <c r="C22" s="19" t="n">
        <f aca="false">IFERROR(INDEX(Overall!$F$2:$F$1000,MATCH("LB|21",Overall!$I$2:$I$1000,0)),"")</f>
        <v>77</v>
      </c>
    </row>
    <row r="23" customFormat="false" ht="15" hidden="false" customHeight="false" outlineLevel="0" collapsed="false">
      <c r="A23" s="22" t="n">
        <f aca="false">IF(B23="","",COUNTIFS(Overall!$C$2:$C$1000,"LB",Overall!$F$2:$F$1000,"&gt;"&amp;C23)+1)</f>
        <v>22</v>
      </c>
      <c r="B23" s="11" t="str">
        <f aca="false">IFERROR(INDEX(Overall!$B$2:$B$1000,MATCH("LB|22",Overall!$I$2:$I$1000,0)),"")</f>
        <v>Lanterna Verde</v>
      </c>
      <c r="C23" s="19" t="n">
        <f aca="false">IFERROR(INDEX(Overall!$F$2:$F$1000,MATCH("LB|22",Overall!$I$2:$I$1000,0)),"")</f>
        <v>76</v>
      </c>
    </row>
    <row r="24" customFormat="false" ht="15" hidden="false" customHeight="false" outlineLevel="0" collapsed="false">
      <c r="A24" s="22" t="str">
        <f aca="false">IF(B24="","",COUNTIFS(Overall!$C$2:$C$1000,"LB",Overall!$F$2:$F$1000,"&gt;"&amp;C24)+1)</f>
        <v/>
      </c>
      <c r="B24" s="11" t="str">
        <f aca="false">IFERROR(INDEX(Overall!$B$2:$B$1000,MATCH("LB|23",Overall!$I$2:$I$1000,0)),"")</f>
        <v/>
      </c>
      <c r="C24" s="19" t="str">
        <f aca="false">IFERROR(INDEX(Overall!$F$2:$F$1000,MATCH("LB|23",Overall!$I$2:$I$1000,0)),"")</f>
        <v/>
      </c>
    </row>
    <row r="25" customFormat="false" ht="15" hidden="false" customHeight="false" outlineLevel="0" collapsed="false">
      <c r="A25" s="22" t="str">
        <f aca="false">IF(B25="","",COUNTIFS(Overall!$C$2:$C$1000,"LB",Overall!$F$2:$F$1000,"&gt;"&amp;C25)+1)</f>
        <v/>
      </c>
      <c r="B25" s="11" t="str">
        <f aca="false">IFERROR(INDEX(Overall!$B$2:$B$1000,MATCH("LB|24",Overall!$I$2:$I$1000,0)),"")</f>
        <v/>
      </c>
      <c r="C25" s="19" t="str">
        <f aca="false">IFERROR(INDEX(Overall!$F$2:$F$1000,MATCH("LB|24",Overall!$I$2:$I$1000,0)),"")</f>
        <v/>
      </c>
    </row>
    <row r="26" customFormat="false" ht="15" hidden="false" customHeight="false" outlineLevel="0" collapsed="false">
      <c r="A26" s="22" t="str">
        <f aca="false">IF(B26="","",COUNTIFS(Overall!$C$2:$C$1000,"LB",Overall!$F$2:$F$1000,"&gt;"&amp;C26)+1)</f>
        <v/>
      </c>
      <c r="B26" s="11" t="str">
        <f aca="false">IFERROR(INDEX(Overall!$B$2:$B$1000,MATCH("LB|25",Overall!$I$2:$I$1000,0)),"")</f>
        <v/>
      </c>
      <c r="C26" s="19" t="str">
        <f aca="false">IFERROR(INDEX(Overall!$F$2:$F$1000,MATCH("LB|25",Overall!$I$2:$I$1000,0)),"")</f>
        <v/>
      </c>
    </row>
    <row r="27" customFormat="false" ht="15" hidden="false" customHeight="false" outlineLevel="0" collapsed="false">
      <c r="A27" s="22" t="str">
        <f aca="false">IF(B27="","",COUNTIFS(Overall!$C$2:$C$1000,"LB",Overall!$F$2:$F$1000,"&gt;"&amp;C27)+1)</f>
        <v/>
      </c>
      <c r="B27" s="11" t="str">
        <f aca="false">IFERROR(INDEX(Overall!$B$2:$B$1000,MATCH("LB|26",Overall!$I$2:$I$1000,0)),"")</f>
        <v/>
      </c>
      <c r="C27" s="19" t="str">
        <f aca="false">IFERROR(INDEX(Overall!$F$2:$F$1000,MATCH("LB|26",Overall!$I$2:$I$1000,0)),"")</f>
        <v/>
      </c>
    </row>
    <row r="28" customFormat="false" ht="15" hidden="false" customHeight="false" outlineLevel="0" collapsed="false">
      <c r="A28" s="22" t="str">
        <f aca="false">IF(B28="","",COUNTIFS(Overall!$C$2:$C$1000,"LB",Overall!$F$2:$F$1000,"&gt;"&amp;C28)+1)</f>
        <v/>
      </c>
      <c r="B28" s="11" t="str">
        <f aca="false">IFERROR(INDEX(Overall!$B$2:$B$1000,MATCH("LB|27",Overall!$I$2:$I$1000,0)),"")</f>
        <v/>
      </c>
      <c r="C28" s="19" t="str">
        <f aca="false">IFERROR(INDEX(Overall!$F$2:$F$1000,MATCH("LB|27",Overall!$I$2:$I$1000,0)),"")</f>
        <v/>
      </c>
    </row>
    <row r="29" customFormat="false" ht="15" hidden="false" customHeight="false" outlineLevel="0" collapsed="false">
      <c r="A29" s="22" t="str">
        <f aca="false">IF(B29="","",COUNTIFS(Overall!$C$2:$C$1000,"LB",Overall!$F$2:$F$1000,"&gt;"&amp;C29)+1)</f>
        <v/>
      </c>
      <c r="B29" s="11" t="str">
        <f aca="false">IFERROR(INDEX(Overall!$B$2:$B$1000,MATCH("LB|28",Overall!$I$2:$I$1000,0)),"")</f>
        <v/>
      </c>
      <c r="C29" s="19" t="str">
        <f aca="false">IFERROR(INDEX(Overall!$F$2:$F$1000,MATCH("LB|28",Overall!$I$2:$I$1000,0)),"")</f>
        <v/>
      </c>
    </row>
    <row r="30" customFormat="false" ht="15" hidden="false" customHeight="false" outlineLevel="0" collapsed="false">
      <c r="A30" s="22" t="str">
        <f aca="false">IF(B30="","",COUNTIFS(Overall!$C$2:$C$1000,"LB",Overall!$F$2:$F$1000,"&gt;"&amp;C30)+1)</f>
        <v/>
      </c>
      <c r="B30" s="11" t="str">
        <f aca="false">IFERROR(INDEX(Overall!$B$2:$B$1000,MATCH("LB|29",Overall!$I$2:$I$1000,0)),"")</f>
        <v/>
      </c>
      <c r="C30" s="19" t="str">
        <f aca="false">IFERROR(INDEX(Overall!$F$2:$F$1000,MATCH("LB|29",Overall!$I$2:$I$1000,0)),"")</f>
        <v/>
      </c>
    </row>
    <row r="31" customFormat="false" ht="15" hidden="false" customHeight="false" outlineLevel="0" collapsed="false">
      <c r="A31" s="22" t="str">
        <f aca="false">IF(B31="","",COUNTIFS(Overall!$C$2:$C$1000,"LB",Overall!$F$2:$F$1000,"&gt;"&amp;C31)+1)</f>
        <v/>
      </c>
      <c r="B31" s="11" t="str">
        <f aca="false">IFERROR(INDEX(Overall!$B$2:$B$1000,MATCH("LB|30",Overall!$I$2:$I$1000,0)),"")</f>
        <v/>
      </c>
      <c r="C31" s="19" t="str">
        <f aca="false">IFERROR(INDEX(Overall!$F$2:$F$1000,MATCH("LB|30",Overall!$I$2:$I$1000,0)),"")</f>
        <v/>
      </c>
    </row>
    <row r="32" customFormat="false" ht="15" hidden="false" customHeight="false" outlineLevel="0" collapsed="false">
      <c r="A32" s="22" t="str">
        <f aca="false">IF(B32="","",COUNTIFS(Overall!$C$2:$C$1000,"LB",Overall!$F$2:$F$1000,"&gt;"&amp;C32)+1)</f>
        <v/>
      </c>
      <c r="B32" s="11" t="str">
        <f aca="false">IFERROR(INDEX(Overall!$B$2:$B$1000,MATCH("LB|31",Overall!$I$2:$I$1000,0)),"")</f>
        <v/>
      </c>
      <c r="C32" s="19" t="str">
        <f aca="false">IFERROR(INDEX(Overall!$F$2:$F$1000,MATCH("LB|31",Overall!$I$2:$I$1000,0)),"")</f>
        <v/>
      </c>
    </row>
    <row r="33" customFormat="false" ht="15" hidden="false" customHeight="false" outlineLevel="0" collapsed="false">
      <c r="A33" s="22" t="str">
        <f aca="false">IF(B33="","",COUNTIFS(Overall!$C$2:$C$1000,"LB",Overall!$F$2:$F$1000,"&gt;"&amp;C33)+1)</f>
        <v/>
      </c>
      <c r="B33" s="11" t="str">
        <f aca="false">IFERROR(INDEX(Overall!$B$2:$B$1000,MATCH("LB|32",Overall!$I$2:$I$1000,0)),"")</f>
        <v/>
      </c>
      <c r="C33" s="19" t="str">
        <f aca="false">IFERROR(INDEX(Overall!$F$2:$F$1000,MATCH("LB|32",Overall!$I$2:$I$1000,0)),"")</f>
        <v/>
      </c>
    </row>
    <row r="34" customFormat="false" ht="15" hidden="false" customHeight="false" outlineLevel="0" collapsed="false">
      <c r="A34" s="22" t="str">
        <f aca="false">IF(B34="","",COUNTIFS(Overall!$C$2:$C$1000,"LB",Overall!$F$2:$F$1000,"&gt;"&amp;C34)+1)</f>
        <v/>
      </c>
      <c r="B34" s="11" t="str">
        <f aca="false">IFERROR(INDEX(Overall!$B$2:$B$1000,MATCH("LB|33",Overall!$I$2:$I$1000,0)),"")</f>
        <v/>
      </c>
      <c r="C34" s="19" t="str">
        <f aca="false">IFERROR(INDEX(Overall!$F$2:$F$1000,MATCH("LB|33",Overall!$I$2:$I$1000,0)),"")</f>
        <v/>
      </c>
    </row>
    <row r="35" customFormat="false" ht="15" hidden="false" customHeight="false" outlineLevel="0" collapsed="false">
      <c r="A35" s="22" t="str">
        <f aca="false">IF(B35="","",COUNTIFS(Overall!$C$2:$C$1000,"LB",Overall!$F$2:$F$1000,"&gt;"&amp;C35)+1)</f>
        <v/>
      </c>
      <c r="B35" s="11" t="str">
        <f aca="false">IFERROR(INDEX(Overall!$B$2:$B$1000,MATCH("LB|34",Overall!$I$2:$I$1000,0)),"")</f>
        <v/>
      </c>
      <c r="C35" s="19" t="str">
        <f aca="false">IFERROR(INDEX(Overall!$F$2:$F$1000,MATCH("LB|34",Overall!$I$2:$I$1000,0)),"")</f>
        <v/>
      </c>
    </row>
    <row r="36" customFormat="false" ht="15" hidden="false" customHeight="false" outlineLevel="0" collapsed="false">
      <c r="A36" s="22" t="str">
        <f aca="false">IF(B36="","",COUNTIFS(Overall!$C$2:$C$1000,"LB",Overall!$F$2:$F$1000,"&gt;"&amp;C36)+1)</f>
        <v/>
      </c>
      <c r="B36" s="11" t="str">
        <f aca="false">IFERROR(INDEX(Overall!$B$2:$B$1000,MATCH("LB|35",Overall!$I$2:$I$1000,0)),"")</f>
        <v/>
      </c>
      <c r="C36" s="19" t="str">
        <f aca="false">IFERROR(INDEX(Overall!$F$2:$F$1000,MATCH("LB|35",Overall!$I$2:$I$1000,0)),"")</f>
        <v/>
      </c>
    </row>
    <row r="37" customFormat="false" ht="15" hidden="false" customHeight="false" outlineLevel="0" collapsed="false">
      <c r="A37" s="22" t="str">
        <f aca="false">IF(B37="","",COUNTIFS(Overall!$C$2:$C$1000,"LB",Overall!$F$2:$F$1000,"&gt;"&amp;C37)+1)</f>
        <v/>
      </c>
      <c r="B37" s="11" t="str">
        <f aca="false">IFERROR(INDEX(Overall!$B$2:$B$1000,MATCH("LB|36",Overall!$I$2:$I$1000,0)),"")</f>
        <v/>
      </c>
      <c r="C37" s="19" t="str">
        <f aca="false">IFERROR(INDEX(Overall!$F$2:$F$1000,MATCH("LB|36",Overall!$I$2:$I$1000,0)),"")</f>
        <v/>
      </c>
    </row>
    <row r="38" customFormat="false" ht="15" hidden="false" customHeight="false" outlineLevel="0" collapsed="false">
      <c r="A38" s="22" t="str">
        <f aca="false">IF(B38="","",COUNTIFS(Overall!$C$2:$C$1000,"LB",Overall!$F$2:$F$1000,"&gt;"&amp;C38)+1)</f>
        <v/>
      </c>
      <c r="B38" s="11" t="str">
        <f aca="false">IFERROR(INDEX(Overall!$B$2:$B$1000,MATCH("LB|37",Overall!$I$2:$I$1000,0)),"")</f>
        <v/>
      </c>
      <c r="C38" s="19" t="str">
        <f aca="false">IFERROR(INDEX(Overall!$F$2:$F$1000,MATCH("LB|37",Overall!$I$2:$I$1000,0)),"")</f>
        <v/>
      </c>
    </row>
    <row r="39" customFormat="false" ht="15" hidden="false" customHeight="false" outlineLevel="0" collapsed="false">
      <c r="A39" s="22" t="str">
        <f aca="false">IF(B39="","",COUNTIFS(Overall!$C$2:$C$1000,"LB",Overall!$F$2:$F$1000,"&gt;"&amp;C39)+1)</f>
        <v/>
      </c>
      <c r="B39" s="11" t="str">
        <f aca="false">IFERROR(INDEX(Overall!$B$2:$B$1000,MATCH("LB|38",Overall!$I$2:$I$1000,0)),"")</f>
        <v/>
      </c>
      <c r="C39" s="19" t="str">
        <f aca="false">IFERROR(INDEX(Overall!$F$2:$F$1000,MATCH("LB|38",Overall!$I$2:$I$1000,0)),"")</f>
        <v/>
      </c>
    </row>
    <row r="40" customFormat="false" ht="15" hidden="false" customHeight="false" outlineLevel="0" collapsed="false">
      <c r="A40" s="22" t="str">
        <f aca="false">IF(B40="","",COUNTIFS(Overall!$C$2:$C$1000,"LB",Overall!$F$2:$F$1000,"&gt;"&amp;C40)+1)</f>
        <v/>
      </c>
      <c r="B40" s="11" t="str">
        <f aca="false">IFERROR(INDEX(Overall!$B$2:$B$1000,MATCH("LB|39",Overall!$I$2:$I$1000,0)),"")</f>
        <v/>
      </c>
      <c r="C40" s="19" t="str">
        <f aca="false">IFERROR(INDEX(Overall!$F$2:$F$1000,MATCH("LB|39",Overall!$I$2:$I$1000,0)),"")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IF(B41="","",COUNTIFS(Overall!$C$2:$C$1000,"LB",Overall!$F$2:$F$1000,"&gt;"&amp;C41)+1)</f>
        <v/>
      </c>
      <c r="B41" s="11" t="str">
        <f aca="false">IFERROR(INDEX(Overall!$B$2:$B$1000,MATCH("LB|40",Overall!$I$2:$I$1000,0)),"")</f>
        <v/>
      </c>
      <c r="C41" s="19" t="str">
        <f aca="false">IFERROR(INDEX(Overall!$F$2:$F$1000,MATCH("LB|40",Overall!$I$2:$I$1000,0)),"")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IF(B42="","",COUNTIFS(Overall!$C$2:$C$1000,"LB",Overall!$F$2:$F$1000,"&gt;"&amp;C42)+1)</f>
        <v/>
      </c>
      <c r="B42" s="11" t="str">
        <f aca="false">IFERROR(INDEX(Overall!$B$2:$B$1000,MATCH("LB|41",Overall!$I$2:$I$1000,0)),"")</f>
        <v/>
      </c>
      <c r="C42" s="19" t="str">
        <f aca="false">IFERROR(INDEX(Overall!$F$2:$F$1000,MATCH("LB|41",Overall!$I$2:$I$1000,0)),"")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IF(B43="","",COUNTIFS(Overall!$C$2:$C$1000,"LB",Overall!$F$2:$F$1000,"&gt;"&amp;C43)+1)</f>
        <v/>
      </c>
      <c r="B43" s="11" t="str">
        <f aca="false">IFERROR(INDEX(Overall!$B$2:$B$1000,MATCH("LB|42",Overall!$I$2:$I$1000,0)),"")</f>
        <v/>
      </c>
      <c r="C43" s="19" t="str">
        <f aca="false">IFERROR(INDEX(Overall!$F$2:$F$1000,MATCH("LB|42",Overall!$I$2:$I$1000,0)),"")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IF(B44="","",COUNTIFS(Overall!$C$2:$C$1000,"LB",Overall!$F$2:$F$1000,"&gt;"&amp;C44)+1)</f>
        <v/>
      </c>
      <c r="B44" s="11" t="str">
        <f aca="false">IFERROR(INDEX(Overall!$B$2:$B$1000,MATCH("LB|43",Overall!$I$2:$I$1000,0)),"")</f>
        <v/>
      </c>
      <c r="C44" s="19" t="str">
        <f aca="false">IFERROR(INDEX(Overall!$F$2:$F$1000,MATCH("LB|43",Overall!$I$2:$I$1000,0)),"")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IF(B45="","",COUNTIFS(Overall!$C$2:$C$1000,"LB",Overall!$F$2:$F$1000,"&gt;"&amp;C45)+1)</f>
        <v/>
      </c>
      <c r="B45" s="11" t="str">
        <f aca="false">IFERROR(INDEX(Overall!$B$2:$B$1000,MATCH("LB|44",Overall!$I$2:$I$1000,0)),"")</f>
        <v/>
      </c>
      <c r="C45" s="19" t="str">
        <f aca="false">IFERROR(INDEX(Overall!$F$2:$F$1000,MATCH("LB|44",Overall!$I$2:$I$1000,0)),"")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IF(B46="","",COUNTIFS(Overall!$C$2:$C$1000,"LB",Overall!$F$2:$F$1000,"&gt;"&amp;C46)+1)</f>
        <v/>
      </c>
      <c r="B46" s="11" t="str">
        <f aca="false">IFERROR(INDEX(Overall!$B$2:$B$1000,MATCH("LB|45",Overall!$I$2:$I$1000,0)),"")</f>
        <v/>
      </c>
      <c r="C46" s="19" t="str">
        <f aca="false">IFERROR(INDEX(Overall!$F$2:$F$1000,MATCH("LB|45",Overall!$I$2:$I$1000,0)),"")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IF(B47="","",COUNTIFS(Overall!$C$2:$C$1000,"LB",Overall!$F$2:$F$1000,"&gt;"&amp;C47)+1)</f>
        <v/>
      </c>
      <c r="B47" s="11" t="str">
        <f aca="false">IFERROR(INDEX(Overall!$B$2:$B$1000,MATCH("LB|46",Overall!$I$2:$I$1000,0)),"")</f>
        <v/>
      </c>
      <c r="C47" s="19" t="str">
        <f aca="false">IFERROR(INDEX(Overall!$F$2:$F$1000,MATCH("LB|46",Overall!$I$2:$I$1000,0)),"")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IF(B48="","",COUNTIFS(Overall!$C$2:$C$1000,"LB",Overall!$F$2:$F$1000,"&gt;"&amp;C48)+1)</f>
        <v/>
      </c>
      <c r="B48" s="11" t="str">
        <f aca="false">IFERROR(INDEX(Overall!$B$2:$B$1000,MATCH("LB|47",Overall!$I$2:$I$1000,0)),"")</f>
        <v/>
      </c>
      <c r="C48" s="19" t="str">
        <f aca="false">IFERROR(INDEX(Overall!$F$2:$F$1000,MATCH("LB|47",Overall!$I$2:$I$1000,0)),"")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IF(B49="","",COUNTIFS(Overall!$C$2:$C$1000,"LB",Overall!$F$2:$F$1000,"&gt;"&amp;C49)+1)</f>
        <v/>
      </c>
      <c r="B49" s="11" t="str">
        <f aca="false">IFERROR(INDEX(Overall!$B$2:$B$1000,MATCH("LB|48",Overall!$I$2:$I$1000,0)),"")</f>
        <v/>
      </c>
      <c r="C49" s="19" t="str">
        <f aca="false">IFERROR(INDEX(Overall!$F$2:$F$1000,MATCH("LB|48",Overall!$I$2:$I$1000,0)),"")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IF(B50="","",COUNTIFS(Overall!$C$2:$C$1000,"LB",Overall!$F$2:$F$1000,"&gt;"&amp;C50)+1)</f>
        <v/>
      </c>
      <c r="B50" s="11" t="str">
        <f aca="false">IFERROR(INDEX(Overall!$B$2:$B$1000,MATCH("LB|49",Overall!$I$2:$I$1000,0)),"")</f>
        <v/>
      </c>
      <c r="C50" s="19" t="str">
        <f aca="false">IFERROR(INDEX(Overall!$F$2:$F$1000,MATCH("LB|49",Overall!$I$2:$I$1000,0)),"")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IF(B51="","",COUNTIFS(Overall!$C$2:$C$1000,"LB",Overall!$F$2:$F$1000,"&gt;"&amp;C51)+1)</f>
        <v/>
      </c>
      <c r="B51" s="11" t="str">
        <f aca="false">IFERROR(INDEX(Overall!$B$2:$B$1000,MATCH("LB|50",Overall!$I$2:$I$1000,0)),"")</f>
        <v/>
      </c>
      <c r="C51" s="19" t="str">
        <f aca="false">IFERROR(INDEX(Overall!$F$2:$F$1000,MATCH("LB|50",Overall!$I$2:$I$1000,0)),"")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IF(B52="","",COUNTIFS(Overall!$C$2:$C$1000,"LB",Overall!$F$2:$F$1000,"&gt;"&amp;C52)+1)</f>
        <v/>
      </c>
      <c r="B52" s="11" t="str">
        <f aca="false">IFERROR(INDEX(Overall!$B$2:$B$1000,MATCH("LB|51",Overall!$I$2:$I$1000,0)),"")</f>
        <v/>
      </c>
      <c r="C52" s="19" t="str">
        <f aca="false">IFERROR(INDEX(Overall!$F$2:$F$1000,MATCH("LB|51",Overall!$I$2:$I$1000,0)),"")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IF(B53="","",COUNTIFS(Overall!$C$2:$C$1000,"LB",Overall!$F$2:$F$1000,"&gt;"&amp;C53)+1)</f>
        <v/>
      </c>
      <c r="B53" s="11" t="str">
        <f aca="false">IFERROR(INDEX(Overall!$B$2:$B$1000,MATCH("LB|52",Overall!$I$2:$I$1000,0)),"")</f>
        <v/>
      </c>
      <c r="C53" s="19" t="str">
        <f aca="false">IFERROR(INDEX(Overall!$F$2:$F$1000,MATCH("LB|52",Overall!$I$2:$I$1000,0)),"")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IF(B54="","",COUNTIFS(Overall!$C$2:$C$1000,"LB",Overall!$F$2:$F$1000,"&gt;"&amp;C54)+1)</f>
        <v/>
      </c>
      <c r="B54" s="11" t="str">
        <f aca="false">IFERROR(INDEX(Overall!$B$2:$B$1000,MATCH("LB|53",Overall!$I$2:$I$1000,0)),"")</f>
        <v/>
      </c>
      <c r="C54" s="19" t="str">
        <f aca="false">IFERROR(INDEX(Overall!$F$2:$F$1000,MATCH("LB|53",Overall!$I$2:$I$1000,0)),"")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IF(B55="","",COUNTIFS(Overall!$C$2:$C$1000,"LB",Overall!$F$2:$F$1000,"&gt;"&amp;C55)+1)</f>
        <v/>
      </c>
      <c r="B55" s="11" t="str">
        <f aca="false">IFERROR(INDEX(Overall!$B$2:$B$1000,MATCH("LB|54",Overall!$I$2:$I$1000,0)),"")</f>
        <v/>
      </c>
      <c r="C55" s="19" t="str">
        <f aca="false">IFERROR(INDEX(Overall!$F$2:$F$1000,MATCH("LB|54",Overall!$I$2:$I$1000,0)),"")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IF(B56="","",COUNTIFS(Overall!$C$2:$C$1000,"LB",Overall!$F$2:$F$1000,"&gt;"&amp;C56)+1)</f>
        <v/>
      </c>
      <c r="B56" s="11" t="str">
        <f aca="false">IFERROR(INDEX(Overall!$B$2:$B$1000,MATCH("LB|55",Overall!$I$2:$I$1000,0)),"")</f>
        <v/>
      </c>
      <c r="C56" s="19" t="str">
        <f aca="false">IFERROR(INDEX(Overall!$F$2:$F$1000,MATCH("LB|55",Overall!$I$2:$I$1000,0)),"")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IF(B57="","",COUNTIFS(Overall!$C$2:$C$1000,"LB",Overall!$F$2:$F$1000,"&gt;"&amp;C57)+1)</f>
        <v/>
      </c>
      <c r="B57" s="11" t="str">
        <f aca="false">IFERROR(INDEX(Overall!$B$2:$B$1000,MATCH("LB|56",Overall!$I$2:$I$1000,0)),"")</f>
        <v/>
      </c>
      <c r="C57" s="19" t="str">
        <f aca="false">IFERROR(INDEX(Overall!$F$2:$F$1000,MATCH("LB|56",Overall!$I$2:$I$1000,0)),"")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IF(B58="","",COUNTIFS(Overall!$C$2:$C$1000,"LB",Overall!$F$2:$F$1000,"&gt;"&amp;C58)+1)</f>
        <v/>
      </c>
      <c r="B58" s="11" t="str">
        <f aca="false">IFERROR(INDEX(Overall!$B$2:$B$1000,MATCH("LB|57",Overall!$I$2:$I$1000,0)),"")</f>
        <v/>
      </c>
      <c r="C58" s="19" t="str">
        <f aca="false">IFERROR(INDEX(Overall!$F$2:$F$1000,MATCH("LB|57",Overall!$I$2:$I$1000,0)),"")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IF(B59="","",COUNTIFS(Overall!$C$2:$C$1000,"LB",Overall!$F$2:$F$1000,"&gt;"&amp;C59)+1)</f>
        <v/>
      </c>
      <c r="B59" s="11" t="str">
        <f aca="false">IFERROR(INDEX(Overall!$B$2:$B$1000,MATCH("LB|58",Overall!$I$2:$I$1000,0)),"")</f>
        <v/>
      </c>
      <c r="C59" s="19" t="str">
        <f aca="false">IFERROR(INDEX(Overall!$F$2:$F$1000,MATCH("LB|58",Overall!$I$2:$I$1000,0)),"")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IF(B60="","",COUNTIFS(Overall!$C$2:$C$1000,"LB",Overall!$F$2:$F$1000,"&gt;"&amp;C60)+1)</f>
        <v/>
      </c>
      <c r="B60" s="11" t="str">
        <f aca="false">IFERROR(INDEX(Overall!$B$2:$B$1000,MATCH("LB|59",Overall!$I$2:$I$1000,0)),"")</f>
        <v/>
      </c>
      <c r="C60" s="19" t="str">
        <f aca="false">IFERROR(INDEX(Overall!$F$2:$F$1000,MATCH("LB|59",Overall!$I$2:$I$1000,0)),"")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IF(B61="","",COUNTIFS(Overall!$C$2:$C$1000,"LB",Overall!$F$2:$F$1000,"&gt;"&amp;C61)+1)</f>
        <v/>
      </c>
      <c r="B61" s="11" t="str">
        <f aca="false">IFERROR(INDEX(Overall!$B$2:$B$1000,MATCH("LB|60",Overall!$I$2:$I$1000,0)),"")</f>
        <v/>
      </c>
      <c r="C61" s="19" t="str">
        <f aca="false">IFERROR(INDEX(Overall!$F$2:$F$1000,MATCH("LB|60",Overall!$I$2:$I$1000,0)),"")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IF(B62="","",COUNTIFS(Overall!$C$2:$C$1000,"LB",Overall!$F$2:$F$1000,"&gt;"&amp;C62)+1)</f>
        <v/>
      </c>
      <c r="B62" s="11" t="str">
        <f aca="false">IFERROR(INDEX(Overall!$B$2:$B$1000,MATCH("LB|61",Overall!$I$2:$I$1000,0)),"")</f>
        <v/>
      </c>
      <c r="C62" s="19" t="str">
        <f aca="false">IFERROR(INDEX(Overall!$F$2:$F$1000,MATCH("LB|61",Overall!$I$2:$I$1000,0)),"")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IF(B63="","",COUNTIFS(Overall!$C$2:$C$1000,"LB",Overall!$F$2:$F$1000,"&gt;"&amp;C63)+1)</f>
        <v/>
      </c>
      <c r="B63" s="11" t="str">
        <f aca="false">IFERROR(INDEX(Overall!$B$2:$B$1000,MATCH("LB|62",Overall!$I$2:$I$1000,0)),"")</f>
        <v/>
      </c>
      <c r="C63" s="19" t="str">
        <f aca="false">IFERROR(INDEX(Overall!$F$2:$F$1000,MATCH("LB|62",Overall!$I$2:$I$1000,0)),"")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IF(B64="","",COUNTIFS(Overall!$C$2:$C$1000,"LB",Overall!$F$2:$F$1000,"&gt;"&amp;C64)+1)</f>
        <v/>
      </c>
      <c r="B64" s="11" t="str">
        <f aca="false">IFERROR(INDEX(Overall!$B$2:$B$1000,MATCH("LB|63",Overall!$I$2:$I$1000,0)),"")</f>
        <v/>
      </c>
      <c r="C64" s="19" t="str">
        <f aca="false">IFERROR(INDEX(Overall!$F$2:$F$1000,MATCH("LB|63",Overall!$I$2:$I$1000,0)),"")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IF(B65="","",COUNTIFS(Overall!$C$2:$C$1000,"LB",Overall!$F$2:$F$1000,"&gt;"&amp;C65)+1)</f>
        <v/>
      </c>
      <c r="B65" s="11" t="str">
        <f aca="false">IFERROR(INDEX(Overall!$B$2:$B$1000,MATCH("LB|64",Overall!$I$2:$I$1000,0)),"")</f>
        <v/>
      </c>
      <c r="C65" s="19" t="str">
        <f aca="false">IFERROR(INDEX(Overall!$F$2:$F$1000,MATCH("LB|64",Overall!$I$2:$I$1000,0)),"")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IF(B66="","",COUNTIFS(Overall!$C$2:$C$1000,"LB",Overall!$F$2:$F$1000,"&gt;"&amp;C66)+1)</f>
        <v/>
      </c>
      <c r="B66" s="11" t="str">
        <f aca="false">IFERROR(INDEX(Overall!$B$2:$B$1000,MATCH("LB|65",Overall!$I$2:$I$1000,0)),"")</f>
        <v/>
      </c>
      <c r="C66" s="19" t="str">
        <f aca="false">IFERROR(INDEX(Overall!$F$2:$F$1000,MATCH("LB|65",Overall!$I$2:$I$1000,0)),"")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IF(B67="","",COUNTIFS(Overall!$C$2:$C$1000,"LB",Overall!$F$2:$F$1000,"&gt;"&amp;C67)+1)</f>
        <v/>
      </c>
      <c r="B67" s="11" t="str">
        <f aca="false">IFERROR(INDEX(Overall!$B$2:$B$1000,MATCH("LB|66",Overall!$I$2:$I$1000,0)),"")</f>
        <v/>
      </c>
      <c r="C67" s="19" t="str">
        <f aca="false">IFERROR(INDEX(Overall!$F$2:$F$1000,MATCH("LB|66",Overall!$I$2:$I$1000,0)),"")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IF(B68="","",COUNTIFS(Overall!$C$2:$C$1000,"LB",Overall!$F$2:$F$1000,"&gt;"&amp;C68)+1)</f>
        <v/>
      </c>
      <c r="B68" s="11" t="str">
        <f aca="false">IFERROR(INDEX(Overall!$B$2:$B$1000,MATCH("LB|67",Overall!$I$2:$I$1000,0)),"")</f>
        <v/>
      </c>
      <c r="C68" s="19" t="str">
        <f aca="false">IFERROR(INDEX(Overall!$F$2:$F$1000,MATCH("LB|67",Overall!$I$2:$I$1000,0)),"")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IF(B69="","",COUNTIFS(Overall!$C$2:$C$1000,"LB",Overall!$F$2:$F$1000,"&gt;"&amp;C69)+1)</f>
        <v/>
      </c>
      <c r="B69" s="11" t="str">
        <f aca="false">IFERROR(INDEX(Overall!$B$2:$B$1000,MATCH("LB|68",Overall!$I$2:$I$1000,0)),"")</f>
        <v/>
      </c>
      <c r="C69" s="19" t="str">
        <f aca="false">IFERROR(INDEX(Overall!$F$2:$F$1000,MATCH("LB|68",Overall!$I$2:$I$1000,0)),"")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IF(B70="","",COUNTIFS(Overall!$C$2:$C$1000,"LB",Overall!$F$2:$F$1000,"&gt;"&amp;C70)+1)</f>
        <v/>
      </c>
      <c r="B70" s="11" t="str">
        <f aca="false">IFERROR(INDEX(Overall!$B$2:$B$1000,MATCH("LB|69",Overall!$I$2:$I$1000,0)),"")</f>
        <v/>
      </c>
      <c r="C70" s="19" t="str">
        <f aca="false">IFERROR(INDEX(Overall!$F$2:$F$1000,MATCH("LB|69",Overall!$I$2:$I$1000,0)),"")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IF(B71="","",COUNTIFS(Overall!$C$2:$C$1000,"LB",Overall!$F$2:$F$1000,"&gt;"&amp;C71)+1)</f>
        <v/>
      </c>
      <c r="B71" s="11" t="str">
        <f aca="false">IFERROR(INDEX(Overall!$B$2:$B$1000,MATCH("LB|70",Overall!$I$2:$I$1000,0)),"")</f>
        <v/>
      </c>
      <c r="C71" s="19" t="str">
        <f aca="false">IFERROR(INDEX(Overall!$F$2:$F$1000,MATCH("LB|70",Overall!$I$2:$I$1000,0)),"")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IF(B72="","",COUNTIFS(Overall!$C$2:$C$1000,"LB",Overall!$F$2:$F$1000,"&gt;"&amp;C72)+1)</f>
        <v/>
      </c>
      <c r="B72" s="11" t="str">
        <f aca="false">IFERROR(INDEX(Overall!$B$2:$B$1000,MATCH("LB|71",Overall!$I$2:$I$1000,0)),"")</f>
        <v/>
      </c>
      <c r="C72" s="19" t="str">
        <f aca="false">IFERROR(INDEX(Overall!$F$2:$F$1000,MATCH("LB|71",Overall!$I$2:$I$1000,0)),"")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IF(B73="","",COUNTIFS(Overall!$C$2:$C$1000,"LB",Overall!$F$2:$F$1000,"&gt;"&amp;C73)+1)</f>
        <v/>
      </c>
      <c r="B73" s="11" t="str">
        <f aca="false">IFERROR(INDEX(Overall!$B$2:$B$1000,MATCH("LB|72",Overall!$I$2:$I$1000,0)),"")</f>
        <v/>
      </c>
      <c r="C73" s="19" t="str">
        <f aca="false">IFERROR(INDEX(Overall!$F$2:$F$1000,MATCH("LB|72",Overall!$I$2:$I$1000,0)),"")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IF(B74="","",COUNTIFS(Overall!$C$2:$C$1000,"LB",Overall!$F$2:$F$1000,"&gt;"&amp;C74)+1)</f>
        <v/>
      </c>
      <c r="B74" s="11" t="str">
        <f aca="false">IFERROR(INDEX(Overall!$B$2:$B$1000,MATCH("LB|73",Overall!$I$2:$I$1000,0)),"")</f>
        <v/>
      </c>
      <c r="C74" s="19" t="str">
        <f aca="false">IFERROR(INDEX(Overall!$F$2:$F$1000,MATCH("LB|73",Overall!$I$2:$I$1000,0)),"")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IF(B75="","",COUNTIFS(Overall!$C$2:$C$1000,"LB",Overall!$F$2:$F$1000,"&gt;"&amp;C75)+1)</f>
        <v/>
      </c>
      <c r="B75" s="11" t="str">
        <f aca="false">IFERROR(INDEX(Overall!$B$2:$B$1000,MATCH("LB|74",Overall!$I$2:$I$1000,0)),"")</f>
        <v/>
      </c>
      <c r="C75" s="19" t="str">
        <f aca="false">IFERROR(INDEX(Overall!$F$2:$F$1000,MATCH("LB|74",Overall!$I$2:$I$1000,0)),"")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IF(B76="","",COUNTIFS(Overall!$C$2:$C$1000,"LB",Overall!$F$2:$F$1000,"&gt;"&amp;C76)+1)</f>
        <v/>
      </c>
      <c r="B76" s="11" t="str">
        <f aca="false">IFERROR(INDEX(Overall!$B$2:$B$1000,MATCH("LB|75",Overall!$I$2:$I$1000,0)),"")</f>
        <v/>
      </c>
      <c r="C76" s="19" t="str">
        <f aca="false">IFERROR(INDEX(Overall!$F$2:$F$1000,MATCH("LB|75",Overall!$I$2:$I$1000,0)),"")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IF(B77="","",COUNTIFS(Overall!$C$2:$C$1000,"LB",Overall!$F$2:$F$1000,"&gt;"&amp;C77)+1)</f>
        <v/>
      </c>
      <c r="B77" s="11" t="str">
        <f aca="false">IFERROR(INDEX(Overall!$B$2:$B$1000,MATCH("LB|76",Overall!$I$2:$I$1000,0)),"")</f>
        <v/>
      </c>
      <c r="C77" s="19" t="str">
        <f aca="false">IFERROR(INDEX(Overall!$F$2:$F$1000,MATCH("LB|76",Overall!$I$2:$I$1000,0)),"")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IF(B78="","",COUNTIFS(Overall!$C$2:$C$1000,"LB",Overall!$F$2:$F$1000,"&gt;"&amp;C78)+1)</f>
        <v/>
      </c>
      <c r="B78" s="11" t="str">
        <f aca="false">IFERROR(INDEX(Overall!$B$2:$B$1000,MATCH("LB|77",Overall!$I$2:$I$1000,0)),"")</f>
        <v/>
      </c>
      <c r="C78" s="19" t="str">
        <f aca="false">IFERROR(INDEX(Overall!$F$2:$F$1000,MATCH("LB|77",Overall!$I$2:$I$1000,0)),"")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IF(B79="","",COUNTIFS(Overall!$C$2:$C$1000,"LB",Overall!$F$2:$F$1000,"&gt;"&amp;C79)+1)</f>
        <v/>
      </c>
      <c r="B79" s="11" t="str">
        <f aca="false">IFERROR(INDEX(Overall!$B$2:$B$1000,MATCH("LB|78",Overall!$I$2:$I$1000,0)),"")</f>
        <v/>
      </c>
      <c r="C79" s="19" t="str">
        <f aca="false">IFERROR(INDEX(Overall!$F$2:$F$1000,MATCH("LB|78",Overall!$I$2:$I$1000,0)),"")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IF(B80="","",COUNTIFS(Overall!$C$2:$C$1000,"LB",Overall!$F$2:$F$1000,"&gt;"&amp;C80)+1)</f>
        <v/>
      </c>
      <c r="B80" s="11" t="str">
        <f aca="false">IFERROR(INDEX(Overall!$B$2:$B$1000,MATCH("LB|79",Overall!$I$2:$I$1000,0)),"")</f>
        <v/>
      </c>
      <c r="C80" s="19" t="str">
        <f aca="false">IFERROR(INDEX(Overall!$F$2:$F$1000,MATCH("LB|79",Overall!$I$2:$I$1000,0)),"")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IF(B81="","",COUNTIFS(Overall!$C$2:$C$1000,"LB",Overall!$F$2:$F$1000,"&gt;"&amp;C81)+1)</f>
        <v/>
      </c>
      <c r="B81" s="11" t="str">
        <f aca="false">IFERROR(INDEX(Overall!$B$2:$B$1000,MATCH("LB|80",Overall!$I$2:$I$1000,0)),"")</f>
        <v/>
      </c>
      <c r="C81" s="19" t="str">
        <f aca="false">IFERROR(INDEX(Overall!$F$2:$F$1000,MATCH("LB|80",Overall!$I$2:$I$1000,0)),"")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IF(B82="","",COUNTIFS(Overall!$C$2:$C$1000,"LB",Overall!$F$2:$F$1000,"&gt;"&amp;C82)+1)</f>
        <v/>
      </c>
      <c r="B82" s="11" t="str">
        <f aca="false">IFERROR(INDEX(Overall!$B$2:$B$1000,MATCH("LB|81",Overall!$I$2:$I$1000,0)),"")</f>
        <v/>
      </c>
      <c r="C82" s="19" t="str">
        <f aca="false">IFERROR(INDEX(Overall!$F$2:$F$1000,MATCH("LB|81",Overall!$I$2:$I$1000,0)),"")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IF(B83="","",COUNTIFS(Overall!$C$2:$C$1000,"LB",Overall!$F$2:$F$1000,"&gt;"&amp;C83)+1)</f>
        <v/>
      </c>
      <c r="B83" s="11" t="str">
        <f aca="false">IFERROR(INDEX(Overall!$B$2:$B$1000,MATCH("LB|82",Overall!$I$2:$I$1000,0)),"")</f>
        <v/>
      </c>
      <c r="C83" s="19" t="str">
        <f aca="false">IFERROR(INDEX(Overall!$F$2:$F$1000,MATCH("LB|82",Overall!$I$2:$I$1000,0)),"")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IF(B84="","",COUNTIFS(Overall!$C$2:$C$1000,"LB",Overall!$F$2:$F$1000,"&gt;"&amp;C84)+1)</f>
        <v/>
      </c>
      <c r="B84" s="11" t="str">
        <f aca="false">IFERROR(INDEX(Overall!$B$2:$B$1000,MATCH("LB|83",Overall!$I$2:$I$1000,0)),"")</f>
        <v/>
      </c>
      <c r="C84" s="19" t="str">
        <f aca="false">IFERROR(INDEX(Overall!$F$2:$F$1000,MATCH("LB|83",Overall!$I$2:$I$1000,0)),"")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IF(B85="","",COUNTIFS(Overall!$C$2:$C$1000,"LB",Overall!$F$2:$F$1000,"&gt;"&amp;C85)+1)</f>
        <v/>
      </c>
      <c r="B85" s="11" t="str">
        <f aca="false">IFERROR(INDEX(Overall!$B$2:$B$1000,MATCH("LB|84",Overall!$I$2:$I$1000,0)),"")</f>
        <v/>
      </c>
      <c r="C85" s="19" t="str">
        <f aca="false">IFERROR(INDEX(Overall!$F$2:$F$1000,MATCH("LB|84",Overall!$I$2:$I$1000,0)),"")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IF(B86="","",COUNTIFS(Overall!$C$2:$C$1000,"LB",Overall!$F$2:$F$1000,"&gt;"&amp;C86)+1)</f>
        <v/>
      </c>
      <c r="B86" s="11" t="str">
        <f aca="false">IFERROR(INDEX(Overall!$B$2:$B$1000,MATCH("LB|85",Overall!$I$2:$I$1000,0)),"")</f>
        <v/>
      </c>
      <c r="C86" s="19" t="str">
        <f aca="false">IFERROR(INDEX(Overall!$F$2:$F$1000,MATCH("LB|85",Overall!$I$2:$I$1000,0)),"")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IF(B87="","",COUNTIFS(Overall!$C$2:$C$1000,"LB",Overall!$F$2:$F$1000,"&gt;"&amp;C87)+1)</f>
        <v/>
      </c>
      <c r="B87" s="11" t="str">
        <f aca="false">IFERROR(INDEX(Overall!$B$2:$B$1000,MATCH("LB|86",Overall!$I$2:$I$1000,0)),"")</f>
        <v/>
      </c>
      <c r="C87" s="19" t="str">
        <f aca="false">IFERROR(INDEX(Overall!$F$2:$F$1000,MATCH("LB|86",Overall!$I$2:$I$1000,0)),"")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IF(B88="","",COUNTIFS(Overall!$C$2:$C$1000,"LB",Overall!$F$2:$F$1000,"&gt;"&amp;C88)+1)</f>
        <v/>
      </c>
      <c r="B88" s="11" t="str">
        <f aca="false">IFERROR(INDEX(Overall!$B$2:$B$1000,MATCH("LB|87",Overall!$I$2:$I$1000,0)),"")</f>
        <v/>
      </c>
      <c r="C88" s="19" t="str">
        <f aca="false">IFERROR(INDEX(Overall!$F$2:$F$1000,MATCH("LB|87",Overall!$I$2:$I$1000,0)),"")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IF(B89="","",COUNTIFS(Overall!$C$2:$C$1000,"LB",Overall!$F$2:$F$1000,"&gt;"&amp;C89)+1)</f>
        <v/>
      </c>
      <c r="B89" s="11" t="str">
        <f aca="false">IFERROR(INDEX(Overall!$B$2:$B$1000,MATCH("LB|88",Overall!$I$2:$I$1000,0)),"")</f>
        <v/>
      </c>
      <c r="C89" s="19" t="str">
        <f aca="false">IFERROR(INDEX(Overall!$F$2:$F$1000,MATCH("LB|88",Overall!$I$2:$I$1000,0)),"")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IF(B90="","",COUNTIFS(Overall!$C$2:$C$1000,"LB",Overall!$F$2:$F$1000,"&gt;"&amp;C90)+1)</f>
        <v/>
      </c>
      <c r="B90" s="11" t="str">
        <f aca="false">IFERROR(INDEX(Overall!$B$2:$B$1000,MATCH("LB|89",Overall!$I$2:$I$1000,0)),"")</f>
        <v/>
      </c>
      <c r="C90" s="19" t="str">
        <f aca="false">IFERROR(INDEX(Overall!$F$2:$F$1000,MATCH("LB|89",Overall!$I$2:$I$1000,0)),"")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IF(B91="","",COUNTIFS(Overall!$C$2:$C$1000,"LB",Overall!$F$2:$F$1000,"&gt;"&amp;C91)+1)</f>
        <v/>
      </c>
      <c r="B91" s="11" t="str">
        <f aca="false">IFERROR(INDEX(Overall!$B$2:$B$1000,MATCH("LB|90",Overall!$I$2:$I$1000,0)),"")</f>
        <v/>
      </c>
      <c r="C91" s="19" t="str">
        <f aca="false">IFERROR(INDEX(Overall!$F$2:$F$1000,MATCH("LB|90",Overall!$I$2:$I$1000,0)),"")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IF(B92="","",COUNTIFS(Overall!$C$2:$C$1000,"LB",Overall!$F$2:$F$1000,"&gt;"&amp;C92)+1)</f>
        <v/>
      </c>
      <c r="B92" s="11" t="str">
        <f aca="false">IFERROR(INDEX(Overall!$B$2:$B$1000,MATCH("LB|91",Overall!$I$2:$I$1000,0)),"")</f>
        <v/>
      </c>
      <c r="C92" s="19" t="str">
        <f aca="false">IFERROR(INDEX(Overall!$F$2:$F$1000,MATCH("LB|91",Overall!$I$2:$I$1000,0)),"")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IF(B93="","",COUNTIFS(Overall!$C$2:$C$1000,"LB",Overall!$F$2:$F$1000,"&gt;"&amp;C93)+1)</f>
        <v/>
      </c>
      <c r="B93" s="11" t="str">
        <f aca="false">IFERROR(INDEX(Overall!$B$2:$B$1000,MATCH("LB|92",Overall!$I$2:$I$1000,0)),"")</f>
        <v/>
      </c>
      <c r="C93" s="19" t="str">
        <f aca="false">IFERROR(INDEX(Overall!$F$2:$F$1000,MATCH("LB|92",Overall!$I$2:$I$1000,0)),"")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IF(B94="","",COUNTIFS(Overall!$C$2:$C$1000,"LB",Overall!$F$2:$F$1000,"&gt;"&amp;C94)+1)</f>
        <v/>
      </c>
      <c r="B94" s="11" t="str">
        <f aca="false">IFERROR(INDEX(Overall!$B$2:$B$1000,MATCH("LB|93",Overall!$I$2:$I$1000,0)),"")</f>
        <v/>
      </c>
      <c r="C94" s="19" t="str">
        <f aca="false">IFERROR(INDEX(Overall!$F$2:$F$1000,MATCH("LB|93",Overall!$I$2:$I$1000,0)),"")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IF(B95="","",COUNTIFS(Overall!$C$2:$C$1000,"LB",Overall!$F$2:$F$1000,"&gt;"&amp;C95)+1)</f>
        <v/>
      </c>
      <c r="B95" s="11" t="str">
        <f aca="false">IFERROR(INDEX(Overall!$B$2:$B$1000,MATCH("LB|94",Overall!$I$2:$I$1000,0)),"")</f>
        <v/>
      </c>
      <c r="C95" s="19" t="str">
        <f aca="false">IFERROR(INDEX(Overall!$F$2:$F$1000,MATCH("LB|94",Overall!$I$2:$I$1000,0)),"")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IF(B96="","",COUNTIFS(Overall!$C$2:$C$1000,"LB",Overall!$F$2:$F$1000,"&gt;"&amp;C96)+1)</f>
        <v/>
      </c>
      <c r="B96" s="11" t="str">
        <f aca="false">IFERROR(INDEX(Overall!$B$2:$B$1000,MATCH("LB|95",Overall!$I$2:$I$1000,0)),"")</f>
        <v/>
      </c>
      <c r="C96" s="19" t="str">
        <f aca="false">IFERROR(INDEX(Overall!$F$2:$F$1000,MATCH("LB|95",Overall!$I$2:$I$1000,0)),"")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IF(B97="","",COUNTIFS(Overall!$C$2:$C$1000,"LB",Overall!$F$2:$F$1000,"&gt;"&amp;C97)+1)</f>
        <v/>
      </c>
      <c r="B97" s="11" t="str">
        <f aca="false">IFERROR(INDEX(Overall!$B$2:$B$1000,MATCH("LB|96",Overall!$I$2:$I$1000,0)),"")</f>
        <v/>
      </c>
      <c r="C97" s="19" t="str">
        <f aca="false">IFERROR(INDEX(Overall!$F$2:$F$1000,MATCH("LB|96",Overall!$I$2:$I$1000,0)),"")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IF(B98="","",COUNTIFS(Overall!$C$2:$C$1000,"LB",Overall!$F$2:$F$1000,"&gt;"&amp;C98)+1)</f>
        <v/>
      </c>
      <c r="B98" s="11" t="str">
        <f aca="false">IFERROR(INDEX(Overall!$B$2:$B$1000,MATCH("LB|97",Overall!$I$2:$I$1000,0)),"")</f>
        <v/>
      </c>
      <c r="C98" s="19" t="str">
        <f aca="false">IFERROR(INDEX(Overall!$F$2:$F$1000,MATCH("LB|97",Overall!$I$2:$I$1000,0)),"")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IF(B99="","",COUNTIFS(Overall!$C$2:$C$1000,"LB",Overall!$F$2:$F$1000,"&gt;"&amp;C99)+1)</f>
        <v/>
      </c>
      <c r="B99" s="11" t="str">
        <f aca="false">IFERROR(INDEX(Overall!$B$2:$B$1000,MATCH("LB|98",Overall!$I$2:$I$1000,0)),"")</f>
        <v/>
      </c>
      <c r="C99" s="19" t="str">
        <f aca="false">IFERROR(INDEX(Overall!$F$2:$F$1000,MATCH("LB|98",Overall!$I$2:$I$1000,0)),"")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IF(B100="","",COUNTIFS(Overall!$C$2:$C$1000,"LB",Overall!$F$2:$F$1000,"&gt;"&amp;C100)+1)</f>
        <v/>
      </c>
      <c r="B100" s="11" t="str">
        <f aca="false">IFERROR(INDEX(Overall!$B$2:$B$1000,MATCH("LB|99",Overall!$I$2:$I$1000,0)),"")</f>
        <v/>
      </c>
      <c r="C100" s="19" t="str">
        <f aca="false">IFERROR(INDEX(Overall!$F$2:$F$1000,MATCH("LB|99",Overall!$I$2:$I$1000,0)),"")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IF(B101="","",COUNTIFS(Overall!$C$2:$C$1000,"LB",Overall!$F$2:$F$1000,"&gt;"&amp;C101)+1)</f>
        <v/>
      </c>
      <c r="B101" s="11" t="str">
        <f aca="false">IFERROR(INDEX(Overall!$B$2:$B$1000,MATCH("LB|100",Overall!$I$2:$I$1000,0)),"")</f>
        <v/>
      </c>
      <c r="C101" s="19" t="str">
        <f aca="false">IFERROR(INDEX(Overall!$F$2:$F$1000,MATCH("LB|100",Overall!$I$2:$I$1000,0)),"")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IF(B102="","",COUNTIFS(Overall!$C$2:$C$1000,"LB",Overall!$F$2:$F$1000,"&gt;"&amp;C102)+1)</f>
        <v/>
      </c>
      <c r="B102" s="11" t="str">
        <f aca="false">IFERROR(INDEX(Overall!$B$2:$B$1000,MATCH("LB|101",Overall!$I$2:$I$1000,0)),"")</f>
        <v/>
      </c>
      <c r="C102" s="19" t="str">
        <f aca="false">IFERROR(INDEX(Overall!$F$2:$F$1000,MATCH("LB|101",Overall!$I$2:$I$1000,0)),"")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IF(B103="","",COUNTIFS(Overall!$C$2:$C$1000,"LB",Overall!$F$2:$F$1000,"&gt;"&amp;C103)+1)</f>
        <v/>
      </c>
      <c r="B103" s="11" t="str">
        <f aca="false">IFERROR(INDEX(Overall!$B$2:$B$1000,MATCH("LB|102",Overall!$I$2:$I$1000,0)),"")</f>
        <v/>
      </c>
      <c r="C103" s="19" t="str">
        <f aca="false">IFERROR(INDEX(Overall!$F$2:$F$1000,MATCH("LB|102",Overall!$I$2:$I$1000,0)),"")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IF(B104="","",COUNTIFS(Overall!$C$2:$C$1000,"LB",Overall!$F$2:$F$1000,"&gt;"&amp;C104)+1)</f>
        <v/>
      </c>
      <c r="B104" s="11" t="str">
        <f aca="false">IFERROR(INDEX(Overall!$B$2:$B$1000,MATCH("LB|103",Overall!$I$2:$I$1000,0)),"")</f>
        <v/>
      </c>
      <c r="C104" s="19" t="str">
        <f aca="false">IFERROR(INDEX(Overall!$F$2:$F$1000,MATCH("LB|103",Overall!$I$2:$I$1000,0)),"")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IF(B105="","",COUNTIFS(Overall!$C$2:$C$1000,"LB",Overall!$F$2:$F$1000,"&gt;"&amp;C105)+1)</f>
        <v/>
      </c>
      <c r="B105" s="11" t="str">
        <f aca="false">IFERROR(INDEX(Overall!$B$2:$B$1000,MATCH("LB|104",Overall!$I$2:$I$1000,0)),"")</f>
        <v/>
      </c>
      <c r="C105" s="19" t="str">
        <f aca="false">IFERROR(INDEX(Overall!$F$2:$F$1000,MATCH("LB|104",Overall!$I$2:$I$1000,0)),"")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IF(B106="","",COUNTIFS(Overall!$C$2:$C$1000,"LB",Overall!$F$2:$F$1000,"&gt;"&amp;C106)+1)</f>
        <v/>
      </c>
      <c r="B106" s="11" t="str">
        <f aca="false">IFERROR(INDEX(Overall!$B$2:$B$1000,MATCH("LB|105",Overall!$I$2:$I$1000,0)),"")</f>
        <v/>
      </c>
      <c r="C106" s="19" t="str">
        <f aca="false">IFERROR(INDEX(Overall!$F$2:$F$1000,MATCH("LB|105",Overall!$I$2:$I$1000,0)),"")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IF(B107="","",COUNTIFS(Overall!$C$2:$C$1000,"LB",Overall!$F$2:$F$1000,"&gt;"&amp;C107)+1)</f>
        <v/>
      </c>
      <c r="B107" s="11" t="str">
        <f aca="false">IFERROR(INDEX(Overall!$B$2:$B$1000,MATCH("LB|106",Overall!$I$2:$I$1000,0)),"")</f>
        <v/>
      </c>
      <c r="C107" s="19" t="str">
        <f aca="false">IFERROR(INDEX(Overall!$F$2:$F$1000,MATCH("LB|106",Overall!$I$2:$I$1000,0)),"")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IF(B108="","",COUNTIFS(Overall!$C$2:$C$1000,"LB",Overall!$F$2:$F$1000,"&gt;"&amp;C108)+1)</f>
        <v/>
      </c>
      <c r="B108" s="11" t="str">
        <f aca="false">IFERROR(INDEX(Overall!$B$2:$B$1000,MATCH("LB|107",Overall!$I$2:$I$1000,0)),"")</f>
        <v/>
      </c>
      <c r="C108" s="19" t="str">
        <f aca="false">IFERROR(INDEX(Overall!$F$2:$F$1000,MATCH("LB|107",Overall!$I$2:$I$1000,0)),"")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IF(B109="","",COUNTIFS(Overall!$C$2:$C$1000,"LB",Overall!$F$2:$F$1000,"&gt;"&amp;C109)+1)</f>
        <v/>
      </c>
      <c r="B109" s="11" t="str">
        <f aca="false">IFERROR(INDEX(Overall!$B$2:$B$1000,MATCH("LB|108",Overall!$I$2:$I$1000,0)),"")</f>
        <v/>
      </c>
      <c r="C109" s="19" t="str">
        <f aca="false">IFERROR(INDEX(Overall!$F$2:$F$1000,MATCH("LB|108",Overall!$I$2:$I$1000,0)),"")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IF(B110="","",COUNTIFS(Overall!$C$2:$C$1000,"LB",Overall!$F$2:$F$1000,"&gt;"&amp;C110)+1)</f>
        <v/>
      </c>
      <c r="B110" s="11" t="str">
        <f aca="false">IFERROR(INDEX(Overall!$B$2:$B$1000,MATCH("LB|109",Overall!$I$2:$I$1000,0)),"")</f>
        <v/>
      </c>
      <c r="C110" s="19" t="str">
        <f aca="false">IFERROR(INDEX(Overall!$F$2:$F$1000,MATCH("LB|109",Overall!$I$2:$I$1000,0)),"")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IF(B111="","",COUNTIFS(Overall!$C$2:$C$1000,"LB",Overall!$F$2:$F$1000,"&gt;"&amp;C111)+1)</f>
        <v/>
      </c>
      <c r="B111" s="11" t="str">
        <f aca="false">IFERROR(INDEX(Overall!$B$2:$B$1000,MATCH("LB|110",Overall!$I$2:$I$1000,0)),"")</f>
        <v/>
      </c>
      <c r="C111" s="19" t="str">
        <f aca="false">IFERROR(INDEX(Overall!$F$2:$F$1000,MATCH("LB|110",Overall!$I$2:$I$1000,0)),"")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IF(B112="","",COUNTIFS(Overall!$C$2:$C$1000,"LB",Overall!$F$2:$F$1000,"&gt;"&amp;C112)+1)</f>
        <v/>
      </c>
      <c r="B112" s="11" t="str">
        <f aca="false">IFERROR(INDEX(Overall!$B$2:$B$1000,MATCH("LB|111",Overall!$I$2:$I$1000,0)),"")</f>
        <v/>
      </c>
      <c r="C112" s="19" t="str">
        <f aca="false">IFERROR(INDEX(Overall!$F$2:$F$1000,MATCH("LB|111",Overall!$I$2:$I$1000,0)),"")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IF(B113="","",COUNTIFS(Overall!$C$2:$C$1000,"LB",Overall!$F$2:$F$1000,"&gt;"&amp;C113)+1)</f>
        <v/>
      </c>
      <c r="B113" s="11" t="str">
        <f aca="false">IFERROR(INDEX(Overall!$B$2:$B$1000,MATCH("LB|112",Overall!$I$2:$I$1000,0)),"")</f>
        <v/>
      </c>
      <c r="C113" s="19" t="str">
        <f aca="false">IFERROR(INDEX(Overall!$F$2:$F$1000,MATCH("LB|112",Overall!$I$2:$I$1000,0)),"")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IF(B114="","",COUNTIFS(Overall!$C$2:$C$1000,"LB",Overall!$F$2:$F$1000,"&gt;"&amp;C114)+1)</f>
        <v/>
      </c>
      <c r="B114" s="11" t="str">
        <f aca="false">IFERROR(INDEX(Overall!$B$2:$B$1000,MATCH("LB|113",Overall!$I$2:$I$1000,0)),"")</f>
        <v/>
      </c>
      <c r="C114" s="19" t="str">
        <f aca="false">IFERROR(INDEX(Overall!$F$2:$F$1000,MATCH("LB|113",Overall!$I$2:$I$1000,0)),"")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IF(B115="","",COUNTIFS(Overall!$C$2:$C$1000,"LB",Overall!$F$2:$F$1000,"&gt;"&amp;C115)+1)</f>
        <v/>
      </c>
      <c r="B115" s="11" t="str">
        <f aca="false">IFERROR(INDEX(Overall!$B$2:$B$1000,MATCH("LB|114",Overall!$I$2:$I$1000,0)),"")</f>
        <v/>
      </c>
      <c r="C115" s="19" t="str">
        <f aca="false">IFERROR(INDEX(Overall!$F$2:$F$1000,MATCH("LB|114",Overall!$I$2:$I$1000,0)),"")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IF(B116="","",COUNTIFS(Overall!$C$2:$C$1000,"LB",Overall!$F$2:$F$1000,"&gt;"&amp;C116)+1)</f>
        <v/>
      </c>
      <c r="B116" s="11" t="str">
        <f aca="false">IFERROR(INDEX(Overall!$B$2:$B$1000,MATCH("LB|115",Overall!$I$2:$I$1000,0)),"")</f>
        <v/>
      </c>
      <c r="C116" s="19" t="str">
        <f aca="false">IFERROR(INDEX(Overall!$F$2:$F$1000,MATCH("LB|115",Overall!$I$2:$I$1000,0)),"")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IF(B117="","",COUNTIFS(Overall!$C$2:$C$1000,"LB",Overall!$F$2:$F$1000,"&gt;"&amp;C117)+1)</f>
        <v/>
      </c>
      <c r="B117" s="11" t="str">
        <f aca="false">IFERROR(INDEX(Overall!$B$2:$B$1000,MATCH("LB|116",Overall!$I$2:$I$1000,0)),"")</f>
        <v/>
      </c>
      <c r="C117" s="19" t="str">
        <f aca="false">IFERROR(INDEX(Overall!$F$2:$F$1000,MATCH("LB|116",Overall!$I$2:$I$1000,0)),"")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IF(B118="","",COUNTIFS(Overall!$C$2:$C$1000,"LB",Overall!$F$2:$F$1000,"&gt;"&amp;C118)+1)</f>
        <v/>
      </c>
      <c r="B118" s="11" t="str">
        <f aca="false">IFERROR(INDEX(Overall!$B$2:$B$1000,MATCH("LB|117",Overall!$I$2:$I$1000,0)),"")</f>
        <v/>
      </c>
      <c r="C118" s="19" t="str">
        <f aca="false">IFERROR(INDEX(Overall!$F$2:$F$1000,MATCH("LB|117",Overall!$I$2:$I$1000,0)),"")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IF(B119="","",COUNTIFS(Overall!$C$2:$C$1000,"LB",Overall!$F$2:$F$1000,"&gt;"&amp;C119)+1)</f>
        <v/>
      </c>
      <c r="B119" s="11" t="str">
        <f aca="false">IFERROR(INDEX(Overall!$B$2:$B$1000,MATCH("LB|118",Overall!$I$2:$I$1000,0)),"")</f>
        <v/>
      </c>
      <c r="C119" s="19" t="str">
        <f aca="false">IFERROR(INDEX(Overall!$F$2:$F$1000,MATCH("LB|118",Overall!$I$2:$I$1000,0)),"")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IF(B120="","",COUNTIFS(Overall!$C$2:$C$1000,"LB",Overall!$F$2:$F$1000,"&gt;"&amp;C120)+1)</f>
        <v/>
      </c>
      <c r="B120" s="11" t="str">
        <f aca="false">IFERROR(INDEX(Overall!$B$2:$B$1000,MATCH("LB|119",Overall!$I$2:$I$1000,0)),"")</f>
        <v/>
      </c>
      <c r="C120" s="19" t="str">
        <f aca="false">IFERROR(INDEX(Overall!$F$2:$F$1000,MATCH("LB|119",Overall!$I$2:$I$1000,0)),"")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IF(B121="","",COUNTIFS(Overall!$C$2:$C$1000,"LB",Overall!$F$2:$F$1000,"&gt;"&amp;C121)+1)</f>
        <v/>
      </c>
      <c r="B121" s="11" t="str">
        <f aca="false">IFERROR(INDEX(Overall!$B$2:$B$1000,MATCH("LB|120",Overall!$I$2:$I$1000,0)),"")</f>
        <v/>
      </c>
      <c r="C121" s="19" t="str">
        <f aca="false">IFERROR(INDEX(Overall!$F$2:$F$1000,MATCH("LB|120",Overall!$I$2:$I$1000,0)),"")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IF(B122="","",COUNTIFS(Overall!$C$2:$C$1000,"LB",Overall!$F$2:$F$1000,"&gt;"&amp;C122)+1)</f>
        <v/>
      </c>
      <c r="B122" s="11" t="str">
        <f aca="false">IFERROR(INDEX(Overall!$B$2:$B$1000,MATCH("LB|121",Overall!$I$2:$I$1000,0)),"")</f>
        <v/>
      </c>
      <c r="C122" s="19" t="str">
        <f aca="false">IFERROR(INDEX(Overall!$F$2:$F$1000,MATCH("LB|121",Overall!$I$2:$I$1000,0)),"")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IF(B123="","",COUNTIFS(Overall!$C$2:$C$1000,"LB",Overall!$F$2:$F$1000,"&gt;"&amp;C123)+1)</f>
        <v/>
      </c>
      <c r="B123" s="11" t="str">
        <f aca="false">IFERROR(INDEX(Overall!$B$2:$B$1000,MATCH("LB|122",Overall!$I$2:$I$1000,0)),"")</f>
        <v/>
      </c>
      <c r="C123" s="19" t="str">
        <f aca="false">IFERROR(INDEX(Overall!$F$2:$F$1000,MATCH("LB|122",Overall!$I$2:$I$1000,0)),"")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IF(B124="","",COUNTIFS(Overall!$C$2:$C$1000,"LB",Overall!$F$2:$F$1000,"&gt;"&amp;C124)+1)</f>
        <v/>
      </c>
      <c r="B124" s="11" t="str">
        <f aca="false">IFERROR(INDEX(Overall!$B$2:$B$1000,MATCH("LB|123",Overall!$I$2:$I$1000,0)),"")</f>
        <v/>
      </c>
      <c r="C124" s="19" t="str">
        <f aca="false">IFERROR(INDEX(Overall!$F$2:$F$1000,MATCH("LB|123",Overall!$I$2:$I$1000,0)),"")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IF(B125="","",COUNTIFS(Overall!$C$2:$C$1000,"LB",Overall!$F$2:$F$1000,"&gt;"&amp;C125)+1)</f>
        <v/>
      </c>
      <c r="B125" s="11" t="str">
        <f aca="false">IFERROR(INDEX(Overall!$B$2:$B$1000,MATCH("LB|124",Overall!$I$2:$I$1000,0)),"")</f>
        <v/>
      </c>
      <c r="C125" s="19" t="str">
        <f aca="false">IFERROR(INDEX(Overall!$F$2:$F$1000,MATCH("LB|124",Overall!$I$2:$I$1000,0)),"")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IF(B126="","",COUNTIFS(Overall!$C$2:$C$1000,"LB",Overall!$F$2:$F$1000,"&gt;"&amp;C126)+1)</f>
        <v/>
      </c>
      <c r="B126" s="11" t="str">
        <f aca="false">IFERROR(INDEX(Overall!$B$2:$B$1000,MATCH("LB|125",Overall!$I$2:$I$1000,0)),"")</f>
        <v/>
      </c>
      <c r="C126" s="19" t="str">
        <f aca="false">IFERROR(INDEX(Overall!$F$2:$F$1000,MATCH("LB|125",Overall!$I$2:$I$1000,0)),"")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IF(B127="","",COUNTIFS(Overall!$C$2:$C$1000,"LB",Overall!$F$2:$F$1000,"&gt;"&amp;C127)+1)</f>
        <v/>
      </c>
      <c r="B127" s="11" t="str">
        <f aca="false">IFERROR(INDEX(Overall!$B$2:$B$1000,MATCH("LB|126",Overall!$I$2:$I$1000,0)),"")</f>
        <v/>
      </c>
      <c r="C127" s="19" t="str">
        <f aca="false">IFERROR(INDEX(Overall!$F$2:$F$1000,MATCH("LB|126",Overall!$I$2:$I$1000,0)),"")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IF(B128="","",COUNTIFS(Overall!$C$2:$C$1000,"LB",Overall!$F$2:$F$1000,"&gt;"&amp;C128)+1)</f>
        <v/>
      </c>
      <c r="B128" s="11" t="str">
        <f aca="false">IFERROR(INDEX(Overall!$B$2:$B$1000,MATCH("LB|127",Overall!$I$2:$I$1000,0)),"")</f>
        <v/>
      </c>
      <c r="C128" s="19" t="str">
        <f aca="false">IFERROR(INDEX(Overall!$F$2:$F$1000,MATCH("LB|127",Overall!$I$2:$I$1000,0)),"")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IF(B129="","",COUNTIFS(Overall!$C$2:$C$1000,"LB",Overall!$F$2:$F$1000,"&gt;"&amp;C129)+1)</f>
        <v/>
      </c>
      <c r="B129" s="11" t="str">
        <f aca="false">IFERROR(INDEX(Overall!$B$2:$B$1000,MATCH("LB|128",Overall!$I$2:$I$1000,0)),"")</f>
        <v/>
      </c>
      <c r="C129" s="19" t="str">
        <f aca="false">IFERROR(INDEX(Overall!$F$2:$F$1000,MATCH("LB|128",Overall!$I$2:$I$1000,0)),"")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IF(B130="","",COUNTIFS(Overall!$C$2:$C$1000,"LB",Overall!$F$2:$F$1000,"&gt;"&amp;C130)+1)</f>
        <v/>
      </c>
      <c r="B130" s="11" t="str">
        <f aca="false">IFERROR(INDEX(Overall!$B$2:$B$1000,MATCH("LB|129",Overall!$I$2:$I$1000,0)),"")</f>
        <v/>
      </c>
      <c r="C130" s="19" t="str">
        <f aca="false">IFERROR(INDEX(Overall!$F$2:$F$1000,MATCH("LB|129",Overall!$I$2:$I$1000,0)),"")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IF(B131="","",COUNTIFS(Overall!$C$2:$C$1000,"LB",Overall!$F$2:$F$1000,"&gt;"&amp;C131)+1)</f>
        <v/>
      </c>
      <c r="B131" s="11" t="str">
        <f aca="false">IFERROR(INDEX(Overall!$B$2:$B$1000,MATCH("LB|130",Overall!$I$2:$I$1000,0)),"")</f>
        <v/>
      </c>
      <c r="C131" s="19" t="str">
        <f aca="false">IFERROR(INDEX(Overall!$F$2:$F$1000,MATCH("LB|130",Overall!$I$2:$I$1000,0)),"")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IF(B132="","",COUNTIFS(Overall!$C$2:$C$1000,"LB",Overall!$F$2:$F$1000,"&gt;"&amp;C132)+1)</f>
        <v/>
      </c>
      <c r="B132" s="11" t="str">
        <f aca="false">IFERROR(INDEX(Overall!$B$2:$B$1000,MATCH("LB|131",Overall!$I$2:$I$1000,0)),"")</f>
        <v/>
      </c>
      <c r="C132" s="19" t="str">
        <f aca="false">IFERROR(INDEX(Overall!$F$2:$F$1000,MATCH("LB|131",Overall!$I$2:$I$1000,0)),"")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IF(B133="","",COUNTIFS(Overall!$C$2:$C$1000,"LB",Overall!$F$2:$F$1000,"&gt;"&amp;C133)+1)</f>
        <v/>
      </c>
      <c r="B133" s="11" t="str">
        <f aca="false">IFERROR(INDEX(Overall!$B$2:$B$1000,MATCH("LB|132",Overall!$I$2:$I$1000,0)),"")</f>
        <v/>
      </c>
      <c r="C133" s="19" t="str">
        <f aca="false">IFERROR(INDEX(Overall!$F$2:$F$1000,MATCH("LB|132",Overall!$I$2:$I$1000,0)),"")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IF(B134="","",COUNTIFS(Overall!$C$2:$C$1000,"LB",Overall!$F$2:$F$1000,"&gt;"&amp;C134)+1)</f>
        <v/>
      </c>
      <c r="B134" s="11" t="str">
        <f aca="false">IFERROR(INDEX(Overall!$B$2:$B$1000,MATCH("LB|133",Overall!$I$2:$I$1000,0)),"")</f>
        <v/>
      </c>
      <c r="C134" s="19" t="str">
        <f aca="false">IFERROR(INDEX(Overall!$F$2:$F$1000,MATCH("LB|133",Overall!$I$2:$I$1000,0)),"")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IF(B135="","",COUNTIFS(Overall!$C$2:$C$1000,"LB",Overall!$F$2:$F$1000,"&gt;"&amp;C135)+1)</f>
        <v/>
      </c>
      <c r="B135" s="11" t="str">
        <f aca="false">IFERROR(INDEX(Overall!$B$2:$B$1000,MATCH("LB|134",Overall!$I$2:$I$1000,0)),"")</f>
        <v/>
      </c>
      <c r="C135" s="19" t="str">
        <f aca="false">IFERROR(INDEX(Overall!$F$2:$F$1000,MATCH("LB|134",Overall!$I$2:$I$1000,0)),"")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IF(B136="","",COUNTIFS(Overall!$C$2:$C$1000,"LB",Overall!$F$2:$F$1000,"&gt;"&amp;C136)+1)</f>
        <v/>
      </c>
      <c r="B136" s="11" t="str">
        <f aca="false">IFERROR(INDEX(Overall!$B$2:$B$1000,MATCH("LB|135",Overall!$I$2:$I$1000,0)),"")</f>
        <v/>
      </c>
      <c r="C136" s="19" t="str">
        <f aca="false">IFERROR(INDEX(Overall!$F$2:$F$1000,MATCH("LB|135",Overall!$I$2:$I$1000,0)),"")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IF(B137="","",COUNTIFS(Overall!$C$2:$C$1000,"LB",Overall!$F$2:$F$1000,"&gt;"&amp;C137)+1)</f>
        <v/>
      </c>
      <c r="B137" s="11" t="str">
        <f aca="false">IFERROR(INDEX(Overall!$B$2:$B$1000,MATCH("LB|136",Overall!$I$2:$I$1000,0)),"")</f>
        <v/>
      </c>
      <c r="C137" s="19" t="str">
        <f aca="false">IFERROR(INDEX(Overall!$F$2:$F$1000,MATCH("LB|136",Overall!$I$2:$I$1000,0)),"")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IF(B138="","",COUNTIFS(Overall!$C$2:$C$1000,"LB",Overall!$F$2:$F$1000,"&gt;"&amp;C138)+1)</f>
        <v/>
      </c>
      <c r="B138" s="11" t="str">
        <f aca="false">IFERROR(INDEX(Overall!$B$2:$B$1000,MATCH("LB|137",Overall!$I$2:$I$1000,0)),"")</f>
        <v/>
      </c>
      <c r="C138" s="19" t="str">
        <f aca="false">IFERROR(INDEX(Overall!$F$2:$F$1000,MATCH("LB|137",Overall!$I$2:$I$1000,0)),"")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IF(B139="","",COUNTIFS(Overall!$C$2:$C$1000,"LB",Overall!$F$2:$F$1000,"&gt;"&amp;C139)+1)</f>
        <v/>
      </c>
      <c r="B139" s="11" t="str">
        <f aca="false">IFERROR(INDEX(Overall!$B$2:$B$1000,MATCH("LB|138",Overall!$I$2:$I$1000,0)),"")</f>
        <v/>
      </c>
      <c r="C139" s="19" t="str">
        <f aca="false">IFERROR(INDEX(Overall!$F$2:$F$1000,MATCH("LB|138",Overall!$I$2:$I$1000,0)),"")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IF(B140="","",COUNTIFS(Overall!$C$2:$C$1000,"LB",Overall!$F$2:$F$1000,"&gt;"&amp;C140)+1)</f>
        <v/>
      </c>
      <c r="B140" s="11" t="str">
        <f aca="false">IFERROR(INDEX(Overall!$B$2:$B$1000,MATCH("LB|139",Overall!$I$2:$I$1000,0)),"")</f>
        <v/>
      </c>
      <c r="C140" s="19" t="str">
        <f aca="false">IFERROR(INDEX(Overall!$F$2:$F$1000,MATCH("LB|139",Overall!$I$2:$I$1000,0)),"")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IF(B141="","",COUNTIFS(Overall!$C$2:$C$1000,"LB",Overall!$F$2:$F$1000,"&gt;"&amp;C141)+1)</f>
        <v/>
      </c>
      <c r="B141" s="11" t="str">
        <f aca="false">IFERROR(INDEX(Overall!$B$2:$B$1000,MATCH("LB|140",Overall!$I$2:$I$1000,0)),"")</f>
        <v/>
      </c>
      <c r="C141" s="19" t="str">
        <f aca="false">IFERROR(INDEX(Overall!$F$2:$F$1000,MATCH("LB|140",Overall!$I$2:$I$1000,0)),"")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IF(B142="","",COUNTIFS(Overall!$C$2:$C$1000,"LB",Overall!$F$2:$F$1000,"&gt;"&amp;C142)+1)</f>
        <v/>
      </c>
      <c r="B142" s="11" t="str">
        <f aca="false">IFERROR(INDEX(Overall!$B$2:$B$1000,MATCH("LB|141",Overall!$I$2:$I$1000,0)),"")</f>
        <v/>
      </c>
      <c r="C142" s="19" t="str">
        <f aca="false">IFERROR(INDEX(Overall!$F$2:$F$1000,MATCH("LB|141",Overall!$I$2:$I$1000,0)),"")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IF(B143="","",COUNTIFS(Overall!$C$2:$C$1000,"LB",Overall!$F$2:$F$1000,"&gt;"&amp;C143)+1)</f>
        <v/>
      </c>
      <c r="B143" s="11" t="str">
        <f aca="false">IFERROR(INDEX(Overall!$B$2:$B$1000,MATCH("LB|142",Overall!$I$2:$I$1000,0)),"")</f>
        <v/>
      </c>
      <c r="C143" s="19" t="str">
        <f aca="false">IFERROR(INDEX(Overall!$F$2:$F$1000,MATCH("LB|142",Overall!$I$2:$I$1000,0)),"")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IF(B144="","",COUNTIFS(Overall!$C$2:$C$1000,"LB",Overall!$F$2:$F$1000,"&gt;"&amp;C144)+1)</f>
        <v/>
      </c>
      <c r="B144" s="11" t="str">
        <f aca="false">IFERROR(INDEX(Overall!$B$2:$B$1000,MATCH("LB|143",Overall!$I$2:$I$1000,0)),"")</f>
        <v/>
      </c>
      <c r="C144" s="19" t="str">
        <f aca="false">IFERROR(INDEX(Overall!$F$2:$F$1000,MATCH("LB|143",Overall!$I$2:$I$1000,0)),"")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IF(B145="","",COUNTIFS(Overall!$C$2:$C$1000,"LB",Overall!$F$2:$F$1000,"&gt;"&amp;C145)+1)</f>
        <v/>
      </c>
      <c r="B145" s="11" t="str">
        <f aca="false">IFERROR(INDEX(Overall!$B$2:$B$1000,MATCH("LB|144",Overall!$I$2:$I$1000,0)),"")</f>
        <v/>
      </c>
      <c r="C145" s="19" t="str">
        <f aca="false">IFERROR(INDEX(Overall!$F$2:$F$1000,MATCH("LB|144",Overall!$I$2:$I$1000,0)),"")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IF(B146="","",COUNTIFS(Overall!$C$2:$C$1000,"LB",Overall!$F$2:$F$1000,"&gt;"&amp;C146)+1)</f>
        <v/>
      </c>
      <c r="B146" s="11" t="str">
        <f aca="false">IFERROR(INDEX(Overall!$B$2:$B$1000,MATCH("LB|145",Overall!$I$2:$I$1000,0)),"")</f>
        <v/>
      </c>
      <c r="C146" s="19" t="str">
        <f aca="false">IFERROR(INDEX(Overall!$F$2:$F$1000,MATCH("LB|145",Overall!$I$2:$I$1000,0)),"")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IF(B147="","",COUNTIFS(Overall!$C$2:$C$1000,"LB",Overall!$F$2:$F$1000,"&gt;"&amp;C147)+1)</f>
        <v/>
      </c>
      <c r="B147" s="11" t="str">
        <f aca="false">IFERROR(INDEX(Overall!$B$2:$B$1000,MATCH("LB|146",Overall!$I$2:$I$1000,0)),"")</f>
        <v/>
      </c>
      <c r="C147" s="19" t="str">
        <f aca="false">IFERROR(INDEX(Overall!$F$2:$F$1000,MATCH("LB|146",Overall!$I$2:$I$1000,0)),"")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IF(B148="","",COUNTIFS(Overall!$C$2:$C$1000,"LB",Overall!$F$2:$F$1000,"&gt;"&amp;C148)+1)</f>
        <v/>
      </c>
      <c r="B148" s="11" t="str">
        <f aca="false">IFERROR(INDEX(Overall!$B$2:$B$1000,MATCH("LB|147",Overall!$I$2:$I$1000,0)),"")</f>
        <v/>
      </c>
      <c r="C148" s="19" t="str">
        <f aca="false">IFERROR(INDEX(Overall!$F$2:$F$1000,MATCH("LB|147",Overall!$I$2:$I$1000,0)),"")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IF(B149="","",COUNTIFS(Overall!$C$2:$C$1000,"LB",Overall!$F$2:$F$1000,"&gt;"&amp;C149)+1)</f>
        <v/>
      </c>
      <c r="B149" s="11" t="str">
        <f aca="false">IFERROR(INDEX(Overall!$B$2:$B$1000,MATCH("LB|148",Overall!$I$2:$I$1000,0)),"")</f>
        <v/>
      </c>
      <c r="C149" s="19" t="str">
        <f aca="false">IFERROR(INDEX(Overall!$F$2:$F$1000,MATCH("LB|148",Overall!$I$2:$I$1000,0)),"")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IF(B150="","",COUNTIFS(Overall!$C$2:$C$1000,"LB",Overall!$F$2:$F$1000,"&gt;"&amp;C150)+1)</f>
        <v/>
      </c>
      <c r="B150" s="11" t="str">
        <f aca="false">IFERROR(INDEX(Overall!$B$2:$B$1000,MATCH("LB|149",Overall!$I$2:$I$1000,0)),"")</f>
        <v/>
      </c>
      <c r="C150" s="19" t="str">
        <f aca="false">IFERROR(INDEX(Overall!$F$2:$F$1000,MATCH("LB|149",Overall!$I$2:$I$1000,0)),"")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IF(B151="","",COUNTIFS(Overall!$C$2:$C$1000,"LB",Overall!$F$2:$F$1000,"&gt;"&amp;C151)+1)</f>
        <v/>
      </c>
      <c r="B151" s="11" t="str">
        <f aca="false">IFERROR(INDEX(Overall!$B$2:$B$1000,MATCH("LB|150",Overall!$I$2:$I$1000,0)),"")</f>
        <v/>
      </c>
      <c r="C151" s="19" t="str">
        <f aca="false">IFERROR(INDEX(Overall!$F$2:$F$1000,MATCH("LB|150",Overall!$I$2:$I$1000,0)),"")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E4F0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IF(B2="","",COUNTIFS(Overall!$C$2:$C$1000,"RB",Overall!$F$2:$F$1000,"&gt;"&amp;C2)+1)</f>
        <v>1</v>
      </c>
      <c r="B2" s="11" t="str">
        <f aca="false">IFERROR(INDEX(Overall!$B$2:$B$1000,MATCH("RB|1",Overall!$I$2:$I$1000,0)),"")</f>
        <v>Il cippe</v>
      </c>
      <c r="C2" s="19" t="n">
        <f aca="false">IFERROR(INDEX(Overall!$F$2:$F$1000,MATCH("RB|1",Overall!$I$2:$I$1000,0)),"")</f>
        <v>96</v>
      </c>
    </row>
    <row r="3" customFormat="false" ht="15" hidden="false" customHeight="false" outlineLevel="0" collapsed="false">
      <c r="A3" s="22" t="n">
        <f aca="false">IF(B3="","",COUNTIFS(Overall!$C$2:$C$1000,"RB",Overall!$F$2:$F$1000,"&gt;"&amp;C3)+1)</f>
        <v>1</v>
      </c>
      <c r="B3" s="11" t="str">
        <f aca="false">IFERROR(INDEX(Overall!$B$2:$B$1000,MATCH("RB|2",Overall!$I$2:$I$1000,0)),"")</f>
        <v>Il cippe</v>
      </c>
      <c r="C3" s="19" t="n">
        <f aca="false">IFERROR(INDEX(Overall!$F$2:$F$1000,MATCH("RB|2",Overall!$I$2:$I$1000,0)),"")</f>
        <v>96</v>
      </c>
    </row>
    <row r="4" customFormat="false" ht="15" hidden="false" customHeight="false" outlineLevel="0" collapsed="false">
      <c r="A4" s="22" t="n">
        <f aca="false">IF(B4="","",COUNTIFS(Overall!$C$2:$C$1000,"RB",Overall!$F$2:$F$1000,"&gt;"&amp;C4)+1)</f>
        <v>3</v>
      </c>
      <c r="B4" s="11" t="str">
        <f aca="false">IFERROR(INDEX(Overall!$B$2:$B$1000,MATCH("RB|3",Overall!$I$2:$I$1000,0)),"")</f>
        <v>Gohan</v>
      </c>
      <c r="C4" s="19" t="n">
        <f aca="false">IFERROR(INDEX(Overall!$F$2:$F$1000,MATCH("RB|3",Overall!$I$2:$I$1000,0)),"")</f>
        <v>95</v>
      </c>
    </row>
    <row r="5" customFormat="false" ht="15" hidden="false" customHeight="false" outlineLevel="0" collapsed="false">
      <c r="A5" s="22" t="n">
        <f aca="false">IF(B5="","",COUNTIFS(Overall!$C$2:$C$1000,"RB",Overall!$F$2:$F$1000,"&gt;"&amp;C5)+1)</f>
        <v>4</v>
      </c>
      <c r="B5" s="11" t="str">
        <f aca="false">IFERROR(INDEX(Overall!$B$2:$B$1000,MATCH("RB|4",Overall!$I$2:$I$1000,0)),"")</f>
        <v>Rotunno</v>
      </c>
      <c r="C5" s="19" t="n">
        <f aca="false">IFERROR(INDEX(Overall!$F$2:$F$1000,MATCH("RB|4",Overall!$I$2:$I$1000,0)),"")</f>
        <v>92</v>
      </c>
    </row>
    <row r="6" customFormat="false" ht="15" hidden="false" customHeight="false" outlineLevel="0" collapsed="false">
      <c r="A6" s="22" t="n">
        <f aca="false">IF(B6="","",COUNTIFS(Overall!$C$2:$C$1000,"RB",Overall!$F$2:$F$1000,"&gt;"&amp;C6)+1)</f>
        <v>5</v>
      </c>
      <c r="B6" s="11" t="str">
        <f aca="false">IFERROR(INDEX(Overall!$B$2:$B$1000,MATCH("RB|5",Overall!$I$2:$I$1000,0)),"")</f>
        <v>Nami</v>
      </c>
      <c r="C6" s="19" t="n">
        <f aca="false">IFERROR(INDEX(Overall!$F$2:$F$1000,MATCH("RB|5",Overall!$I$2:$I$1000,0)),"")</f>
        <v>90</v>
      </c>
    </row>
    <row r="7" customFormat="false" ht="15" hidden="false" customHeight="false" outlineLevel="0" collapsed="false">
      <c r="A7" s="22" t="n">
        <f aca="false">IF(B7="","",COUNTIFS(Overall!$C$2:$C$1000,"RB",Overall!$F$2:$F$1000,"&gt;"&amp;C7)+1)</f>
        <v>6</v>
      </c>
      <c r="B7" s="11" t="str">
        <f aca="false">IFERROR(INDEX(Overall!$B$2:$B$1000,MATCH("RB|6",Overall!$I$2:$I$1000,0)),"")</f>
        <v>Usain Bolt</v>
      </c>
      <c r="C7" s="19" t="n">
        <f aca="false">IFERROR(INDEX(Overall!$F$2:$F$1000,MATCH("RB|6",Overall!$I$2:$I$1000,0)),"")</f>
        <v>89</v>
      </c>
    </row>
    <row r="8" customFormat="false" ht="15" hidden="false" customHeight="false" outlineLevel="0" collapsed="false">
      <c r="A8" s="22" t="n">
        <f aca="false">IF(B8="","",COUNTIFS(Overall!$C$2:$C$1000,"RB",Overall!$F$2:$F$1000,"&gt;"&amp;C8)+1)</f>
        <v>6</v>
      </c>
      <c r="B8" s="11" t="str">
        <f aca="false">IFERROR(INDEX(Overall!$B$2:$B$1000,MATCH("RB|7",Overall!$I$2:$I$1000,0)),"")</f>
        <v>Portgas D ace</v>
      </c>
      <c r="C8" s="19" t="n">
        <f aca="false">IFERROR(INDEX(Overall!$F$2:$F$1000,MATCH("RB|7",Overall!$I$2:$I$1000,0)),"")</f>
        <v>89</v>
      </c>
    </row>
    <row r="9" customFormat="false" ht="15" hidden="false" customHeight="false" outlineLevel="0" collapsed="false">
      <c r="A9" s="22" t="n">
        <f aca="false">IF(B9="","",COUNTIFS(Overall!$C$2:$C$1000,"RB",Overall!$F$2:$F$1000,"&gt;"&amp;C9)+1)</f>
        <v>6</v>
      </c>
      <c r="B9" s="11" t="str">
        <f aca="false">IFERROR(INDEX(Overall!$B$2:$B$1000,MATCH("RB|8",Overall!$I$2:$I$1000,0)),"")</f>
        <v>Nanni</v>
      </c>
      <c r="C9" s="19" t="n">
        <f aca="false">IFERROR(INDEX(Overall!$F$2:$F$1000,MATCH("RB|8",Overall!$I$2:$I$1000,0)),"")</f>
        <v>89</v>
      </c>
    </row>
    <row r="10" customFormat="false" ht="15" hidden="false" customHeight="false" outlineLevel="0" collapsed="false">
      <c r="A10" s="22" t="n">
        <f aca="false">IF(B10="","",COUNTIFS(Overall!$C$2:$C$1000,"RB",Overall!$F$2:$F$1000,"&gt;"&amp;C10)+1)</f>
        <v>9</v>
      </c>
      <c r="B10" s="11" t="str">
        <f aca="false">IFERROR(INDEX(Overall!$B$2:$B$1000,MATCH("RB|9",Overall!$I$2:$I$1000,0)),"")</f>
        <v>Ging freecss</v>
      </c>
      <c r="C10" s="19" t="n">
        <f aca="false">IFERROR(INDEX(Overall!$F$2:$F$1000,MATCH("RB|9",Overall!$I$2:$I$1000,0)),"")</f>
        <v>86</v>
      </c>
    </row>
    <row r="11" customFormat="false" ht="15" hidden="false" customHeight="false" outlineLevel="0" collapsed="false">
      <c r="A11" s="22" t="n">
        <f aca="false">IF(B11="","",COUNTIFS(Overall!$C$2:$C$1000,"RB",Overall!$F$2:$F$1000,"&gt;"&amp;C11)+1)</f>
        <v>10</v>
      </c>
      <c r="B11" s="11" t="str">
        <f aca="false">IFERROR(INDEX(Overall!$B$2:$B$1000,MATCH("RB|10",Overall!$I$2:$I$1000,0)),"")</f>
        <v>Speedy Gonzales</v>
      </c>
      <c r="C11" s="19" t="n">
        <f aca="false">IFERROR(INDEX(Overall!$F$2:$F$1000,MATCH("RB|10",Overall!$I$2:$I$1000,0)),"")</f>
        <v>84</v>
      </c>
    </row>
    <row r="12" customFormat="false" ht="15" hidden="false" customHeight="false" outlineLevel="0" collapsed="false">
      <c r="A12" s="22" t="n">
        <f aca="false">IF(B12="","",COUNTIFS(Overall!$C$2:$C$1000,"RB",Overall!$F$2:$F$1000,"&gt;"&amp;C12)+1)</f>
        <v>11</v>
      </c>
      <c r="B12" s="11" t="str">
        <f aca="false">IFERROR(INDEX(Overall!$B$2:$B$1000,MATCH("RB|11",Overall!$I$2:$I$1000,0)),"")</f>
        <v>Velociraptor</v>
      </c>
      <c r="C12" s="19" t="n">
        <f aca="false">IFERROR(INDEX(Overall!$F$2:$F$1000,MATCH("RB|11",Overall!$I$2:$I$1000,0)),"")</f>
        <v>83</v>
      </c>
    </row>
    <row r="13" customFormat="false" ht="15" hidden="false" customHeight="false" outlineLevel="0" collapsed="false">
      <c r="A13" s="22" t="n">
        <f aca="false">IF(B13="","",COUNTIFS(Overall!$C$2:$C$1000,"RB",Overall!$F$2:$F$1000,"&gt;"&amp;C13)+1)</f>
        <v>11</v>
      </c>
      <c r="B13" s="11" t="str">
        <f aca="false">IFERROR(INDEX(Overall!$B$2:$B$1000,MATCH("RB|12",Overall!$I$2:$I$1000,0)),"")</f>
        <v>Heigoro</v>
      </c>
      <c r="C13" s="19" t="n">
        <f aca="false">IFERROR(INDEX(Overall!$F$2:$F$1000,MATCH("RB|12",Overall!$I$2:$I$1000,0)),"")</f>
        <v>83</v>
      </c>
    </row>
    <row r="14" customFormat="false" ht="15" hidden="false" customHeight="false" outlineLevel="0" collapsed="false">
      <c r="A14" s="22" t="n">
        <f aca="false">IF(B14="","",COUNTIFS(Overall!$C$2:$C$1000,"RB",Overall!$F$2:$F$1000,"&gt;"&amp;C14)+1)</f>
        <v>11</v>
      </c>
      <c r="B14" s="11" t="str">
        <f aca="false">IFERROR(INDEX(Overall!$B$2:$B$1000,MATCH("RB|13",Overall!$I$2:$I$1000,0)),"")</f>
        <v>Crow</v>
      </c>
      <c r="C14" s="19" t="n">
        <f aca="false">IFERROR(INDEX(Overall!$F$2:$F$1000,MATCH("RB|13",Overall!$I$2:$I$1000,0)),"")</f>
        <v>83</v>
      </c>
    </row>
    <row r="15" customFormat="false" ht="15" hidden="false" customHeight="false" outlineLevel="0" collapsed="false">
      <c r="A15" s="22" t="n">
        <f aca="false">IF(B15="","",COUNTIFS(Overall!$C$2:$C$1000,"RB",Overall!$F$2:$F$1000,"&gt;"&amp;C15)+1)</f>
        <v>14</v>
      </c>
      <c r="B15" s="11" t="str">
        <f aca="false">IFERROR(INDEX(Overall!$B$2:$B$1000,MATCH("RB|14",Overall!$I$2:$I$1000,0)),"")</f>
        <v>Green Arrow</v>
      </c>
      <c r="C15" s="19" t="n">
        <f aca="false">IFERROR(INDEX(Overall!$F$2:$F$1000,MATCH("RB|14",Overall!$I$2:$I$1000,0)),"")</f>
        <v>82</v>
      </c>
    </row>
    <row r="16" customFormat="false" ht="15" hidden="false" customHeight="false" outlineLevel="0" collapsed="false">
      <c r="A16" s="22" t="n">
        <f aca="false">IF(B16="","",COUNTIFS(Overall!$C$2:$C$1000,"RB",Overall!$F$2:$F$1000,"&gt;"&amp;C16)+1)</f>
        <v>14</v>
      </c>
      <c r="B16" s="11" t="str">
        <f aca="false">IFERROR(INDEX(Overall!$B$2:$B$1000,MATCH("RB|15",Overall!$I$2:$I$1000,0)),"")</f>
        <v>Cassetti</v>
      </c>
      <c r="C16" s="19" t="n">
        <f aca="false">IFERROR(INDEX(Overall!$F$2:$F$1000,MATCH("RB|15",Overall!$I$2:$I$1000,0)),"")</f>
        <v>82</v>
      </c>
    </row>
    <row r="17" customFormat="false" ht="15" hidden="false" customHeight="false" outlineLevel="0" collapsed="false">
      <c r="A17" s="22" t="n">
        <f aca="false">IF(B17="","",COUNTIFS(Overall!$C$2:$C$1000,"RB",Overall!$F$2:$F$1000,"&gt;"&amp;C17)+1)</f>
        <v>14</v>
      </c>
      <c r="B17" s="11" t="str">
        <f aca="false">IFERROR(INDEX(Overall!$B$2:$B$1000,MATCH("RB|16",Overall!$I$2:$I$1000,0)),"")</f>
        <v>Pb&amp;J Time!!</v>
      </c>
      <c r="C17" s="19" t="n">
        <f aca="false">IFERROR(INDEX(Overall!$F$2:$F$1000,MATCH("RB|16",Overall!$I$2:$I$1000,0)),"")</f>
        <v>82</v>
      </c>
    </row>
    <row r="18" customFormat="false" ht="15" hidden="false" customHeight="false" outlineLevel="0" collapsed="false">
      <c r="A18" s="22" t="n">
        <f aca="false">IF(B18="","",COUNTIFS(Overall!$C$2:$C$1000,"RB",Overall!$F$2:$F$1000,"&gt;"&amp;C18)+1)</f>
        <v>17</v>
      </c>
      <c r="B18" s="11" t="str">
        <f aca="false">IFERROR(INDEX(Overall!$B$2:$B$1000,MATCH("RB|17",Overall!$I$2:$I$1000,0)),"")</f>
        <v>Sideshow Bob</v>
      </c>
      <c r="C18" s="19" t="n">
        <f aca="false">IFERROR(INDEX(Overall!$F$2:$F$1000,MATCH("RB|17",Overall!$I$2:$I$1000,0)),"")</f>
        <v>81</v>
      </c>
    </row>
    <row r="19" customFormat="false" ht="15" hidden="false" customHeight="false" outlineLevel="0" collapsed="false">
      <c r="A19" s="22" t="n">
        <f aca="false">IF(B19="","",COUNTIFS(Overall!$C$2:$C$1000,"RB",Overall!$F$2:$F$1000,"&gt;"&amp;C19)+1)</f>
        <v>17</v>
      </c>
      <c r="B19" s="11" t="str">
        <f aca="false">IFERROR(INDEX(Overall!$B$2:$B$1000,MATCH("RB|18",Overall!$I$2:$I$1000,0)),"")</f>
        <v>Raditz</v>
      </c>
      <c r="C19" s="19" t="n">
        <f aca="false">IFERROR(INDEX(Overall!$F$2:$F$1000,MATCH("RB|18",Overall!$I$2:$I$1000,0)),"")</f>
        <v>81</v>
      </c>
    </row>
    <row r="20" customFormat="false" ht="15" hidden="false" customHeight="false" outlineLevel="0" collapsed="false">
      <c r="A20" s="22" t="n">
        <f aca="false">IF(B20="","",COUNTIFS(Overall!$C$2:$C$1000,"RB",Overall!$F$2:$F$1000,"&gt;"&amp;C20)+1)</f>
        <v>17</v>
      </c>
      <c r="B20" s="11" t="str">
        <f aca="false">IFERROR(INDEX(Overall!$B$2:$B$1000,MATCH("RB|19",Overall!$I$2:$I$1000,0)),"")</f>
        <v>Milhouse</v>
      </c>
      <c r="C20" s="19" t="n">
        <f aca="false">IFERROR(INDEX(Overall!$F$2:$F$1000,MATCH("RB|19",Overall!$I$2:$I$1000,0)),"")</f>
        <v>81</v>
      </c>
    </row>
    <row r="21" customFormat="false" ht="15" hidden="false" customHeight="false" outlineLevel="0" collapsed="false">
      <c r="A21" s="22" t="n">
        <f aca="false">IF(B21="","",COUNTIFS(Overall!$C$2:$C$1000,"RB",Overall!$F$2:$F$1000,"&gt;"&amp;C21)+1)</f>
        <v>17</v>
      </c>
      <c r="B21" s="11" t="str">
        <f aca="false">IFERROR(INDEX(Overall!$B$2:$B$1000,MATCH("RB|20",Overall!$I$2:$I$1000,0)),"")</f>
        <v>Narancia</v>
      </c>
      <c r="C21" s="19" t="n">
        <f aca="false">IFERROR(INDEX(Overall!$F$2:$F$1000,MATCH("RB|20",Overall!$I$2:$I$1000,0)),"")</f>
        <v>81</v>
      </c>
    </row>
    <row r="22" customFormat="false" ht="15" hidden="false" customHeight="false" outlineLevel="0" collapsed="false">
      <c r="A22" s="22" t="n">
        <f aca="false">IF(B22="","",COUNTIFS(Overall!$C$2:$C$1000,"RB",Overall!$F$2:$F$1000,"&gt;"&amp;C22)+1)</f>
        <v>17</v>
      </c>
      <c r="B22" s="11" t="str">
        <f aca="false">IFERROR(INDEX(Overall!$B$2:$B$1000,MATCH("RB|21",Overall!$I$2:$I$1000,0)),"")</f>
        <v>Gary</v>
      </c>
      <c r="C22" s="19" t="n">
        <f aca="false">IFERROR(INDEX(Overall!$F$2:$F$1000,MATCH("RB|21",Overall!$I$2:$I$1000,0)),"")</f>
        <v>81</v>
      </c>
    </row>
    <row r="23" customFormat="false" ht="15" hidden="false" customHeight="false" outlineLevel="0" collapsed="false">
      <c r="A23" s="22" t="n">
        <f aca="false">IF(B23="","",COUNTIFS(Overall!$C$2:$C$1000,"RB",Overall!$F$2:$F$1000,"&gt;"&amp;C23)+1)</f>
        <v>22</v>
      </c>
      <c r="B23" s="11" t="str">
        <f aca="false">IFERROR(INDEX(Overall!$B$2:$B$1000,MATCH("RB|22",Overall!$I$2:$I$1000,0)),"")</f>
        <v>Brock</v>
      </c>
      <c r="C23" s="19" t="n">
        <f aca="false">IFERROR(INDEX(Overall!$F$2:$F$1000,MATCH("RB|22",Overall!$I$2:$I$1000,0)),"")</f>
        <v>80</v>
      </c>
    </row>
    <row r="24" customFormat="false" ht="15" hidden="false" customHeight="false" outlineLevel="0" collapsed="false">
      <c r="A24" s="22" t="n">
        <f aca="false">IF(B24="","",COUNTIFS(Overall!$C$2:$C$1000,"RB",Overall!$F$2:$F$1000,"&gt;"&amp;C24)+1)</f>
        <v>22</v>
      </c>
      <c r="B24" s="11" t="str">
        <f aca="false">IFERROR(INDEX(Overall!$B$2:$B$1000,MATCH("RB|23",Overall!$I$2:$I$1000,0)),"")</f>
        <v>Ernie</v>
      </c>
      <c r="C24" s="19" t="n">
        <f aca="false">IFERROR(INDEX(Overall!$F$2:$F$1000,MATCH("RB|23",Overall!$I$2:$I$1000,0)),"")</f>
        <v>80</v>
      </c>
    </row>
    <row r="25" customFormat="false" ht="15" hidden="false" customHeight="false" outlineLevel="0" collapsed="false">
      <c r="A25" s="22" t="n">
        <f aca="false">IF(B25="","",COUNTIFS(Overall!$C$2:$C$1000,"RB",Overall!$F$2:$F$1000,"&gt;"&amp;C25)+1)</f>
        <v>22</v>
      </c>
      <c r="B25" s="11" t="str">
        <f aca="false">IFERROR(INDEX(Overall!$B$2:$B$1000,MATCH("RB|24",Overall!$I$2:$I$1000,0)),"")</f>
        <v>Beast boy</v>
      </c>
      <c r="C25" s="19" t="n">
        <f aca="false">IFERROR(INDEX(Overall!$F$2:$F$1000,MATCH("RB|24",Overall!$I$2:$I$1000,0)),"")</f>
        <v>80</v>
      </c>
    </row>
    <row r="26" customFormat="false" ht="15" hidden="false" customHeight="false" outlineLevel="0" collapsed="false">
      <c r="A26" s="22" t="n">
        <f aca="false">IF(B26="","",COUNTIFS(Overall!$C$2:$C$1000,"RB",Overall!$F$2:$F$1000,"&gt;"&amp;C26)+1)</f>
        <v>22</v>
      </c>
      <c r="B26" s="11" t="str">
        <f aca="false">IFERROR(INDEX(Overall!$B$2:$B$1000,MATCH("RB|25",Overall!$I$2:$I$1000,0)),"")</f>
        <v>Mortimer Mouse</v>
      </c>
      <c r="C26" s="19" t="n">
        <f aca="false">IFERROR(INDEX(Overall!$F$2:$F$1000,MATCH("RB|25",Overall!$I$2:$I$1000,0)),"")</f>
        <v>80</v>
      </c>
    </row>
    <row r="27" customFormat="false" ht="15" hidden="false" customHeight="false" outlineLevel="0" collapsed="false">
      <c r="A27" s="22" t="n">
        <f aca="false">IF(B27="","",COUNTIFS(Overall!$C$2:$C$1000,"RB",Overall!$F$2:$F$1000,"&gt;"&amp;C27)+1)</f>
        <v>26</v>
      </c>
      <c r="B27" s="11" t="str">
        <f aca="false">IFERROR(INDEX(Overall!$B$2:$B$1000,MATCH("RB|26",Overall!$I$2:$I$1000,0)),"")</f>
        <v>Piper</v>
      </c>
      <c r="C27" s="19" t="n">
        <f aca="false">IFERROR(INDEX(Overall!$F$2:$F$1000,MATCH("RB|26",Overall!$I$2:$I$1000,0)),"")</f>
        <v>79</v>
      </c>
    </row>
    <row r="28" customFormat="false" ht="15" hidden="false" customHeight="false" outlineLevel="0" collapsed="false">
      <c r="A28" s="22" t="n">
        <f aca="false">IF(B28="","",COUNTIFS(Overall!$C$2:$C$1000,"RB",Overall!$F$2:$F$1000,"&gt;"&amp;C28)+1)</f>
        <v>27</v>
      </c>
      <c r="B28" s="11" t="str">
        <f aca="false">IFERROR(INDEX(Overall!$B$2:$B$1000,MATCH("RB|27",Overall!$I$2:$I$1000,0)),"")</f>
        <v>Loki</v>
      </c>
      <c r="C28" s="19" t="n">
        <f aca="false">IFERROR(INDEX(Overall!$F$2:$F$1000,MATCH("RB|27",Overall!$I$2:$I$1000,0)),"")</f>
        <v>78</v>
      </c>
    </row>
    <row r="29" customFormat="false" ht="15" hidden="false" customHeight="false" outlineLevel="0" collapsed="false">
      <c r="A29" s="22" t="n">
        <f aca="false">IF(B29="","",COUNTIFS(Overall!$C$2:$C$1000,"RB",Overall!$F$2:$F$1000,"&gt;"&amp;C29)+1)</f>
        <v>28</v>
      </c>
      <c r="B29" s="11" t="str">
        <f aca="false">IFERROR(INDEX(Overall!$B$2:$B$1000,MATCH("RB|28",Overall!$I$2:$I$1000,0)),"")</f>
        <v>Stewie griffin</v>
      </c>
      <c r="C29" s="19" t="n">
        <f aca="false">IFERROR(INDEX(Overall!$F$2:$F$1000,MATCH("RB|28",Overall!$I$2:$I$1000,0)),"")</f>
        <v>77</v>
      </c>
    </row>
    <row r="30" customFormat="false" ht="15" hidden="false" customHeight="false" outlineLevel="0" collapsed="false">
      <c r="A30" s="22" t="n">
        <f aca="false">IF(B30="","",COUNTIFS(Overall!$C$2:$C$1000,"RB",Overall!$F$2:$F$1000,"&gt;"&amp;C30)+1)</f>
        <v>28</v>
      </c>
      <c r="B30" s="11" t="str">
        <f aca="false">IFERROR(INDEX(Overall!$B$2:$B$1000,MATCH("RB|29",Overall!$I$2:$I$1000,0)),"")</f>
        <v>Remy</v>
      </c>
      <c r="C30" s="19" t="n">
        <f aca="false">IFERROR(INDEX(Overall!$F$2:$F$1000,MATCH("RB|29",Overall!$I$2:$I$1000,0)),"")</f>
        <v>77</v>
      </c>
    </row>
    <row r="31" customFormat="false" ht="15" hidden="false" customHeight="false" outlineLevel="0" collapsed="false">
      <c r="A31" s="22" t="n">
        <f aca="false">IF(B31="","",COUNTIFS(Overall!$C$2:$C$1000,"RB",Overall!$F$2:$F$1000,"&gt;"&amp;C31)+1)</f>
        <v>28</v>
      </c>
      <c r="B31" s="11" t="str">
        <f aca="false">IFERROR(INDEX(Overall!$B$2:$B$1000,MATCH("RB|30",Overall!$I$2:$I$1000,0)),"")</f>
        <v>Kamek</v>
      </c>
      <c r="C31" s="19" t="n">
        <f aca="false">IFERROR(INDEX(Overall!$F$2:$F$1000,MATCH("RB|30",Overall!$I$2:$I$1000,0)),"")</f>
        <v>77</v>
      </c>
    </row>
    <row r="32" customFormat="false" ht="15" hidden="false" customHeight="false" outlineLevel="0" collapsed="false">
      <c r="A32" s="22" t="n">
        <f aca="false">IF(B32="","",COUNTIFS(Overall!$C$2:$C$1000,"RB",Overall!$F$2:$F$1000,"&gt;"&amp;C32)+1)</f>
        <v>31</v>
      </c>
      <c r="B32" s="11" t="str">
        <f aca="false">IFERROR(INDEX(Overall!$B$2:$B$1000,MATCH("RB|31",Overall!$I$2:$I$1000,0)),"")</f>
        <v>Koichi Hirose</v>
      </c>
      <c r="C32" s="19" t="n">
        <f aca="false">IFERROR(INDEX(Overall!$F$2:$F$1000,MATCH("RB|31",Overall!$I$2:$I$1000,0)),"")</f>
        <v>75</v>
      </c>
    </row>
    <row r="33" customFormat="false" ht="15" hidden="false" customHeight="false" outlineLevel="0" collapsed="false">
      <c r="A33" s="22" t="n">
        <f aca="false">IF(B33="","",COUNTIFS(Overall!$C$2:$C$1000,"RB",Overall!$F$2:$F$1000,"&gt;"&amp;C33)+1)</f>
        <v>32</v>
      </c>
      <c r="B33" s="11" t="str">
        <f aca="false">IFERROR(INDEX(Overall!$B$2:$B$1000,MATCH("RB|32",Overall!$I$2:$I$1000,0)),"")</f>
        <v>Travis Scott</v>
      </c>
      <c r="C33" s="19" t="n">
        <f aca="false">IFERROR(INDEX(Overall!$F$2:$F$1000,MATCH("RB|32",Overall!$I$2:$I$1000,0)),"")</f>
        <v>73</v>
      </c>
    </row>
    <row r="34" customFormat="false" ht="15" hidden="false" customHeight="false" outlineLevel="0" collapsed="false">
      <c r="A34" s="22" t="str">
        <f aca="false">IF(B34="","",COUNTIFS(Overall!$C$2:$C$1000,"RB",Overall!$F$2:$F$1000,"&gt;"&amp;C34)+1)</f>
        <v/>
      </c>
      <c r="B34" s="11" t="str">
        <f aca="false">IFERROR(INDEX(Overall!$B$2:$B$1000,MATCH("RB|33",Overall!$I$2:$I$1000,0)),"")</f>
        <v/>
      </c>
      <c r="C34" s="19" t="str">
        <f aca="false">IFERROR(INDEX(Overall!$F$2:$F$1000,MATCH("RB|33",Overall!$I$2:$I$1000,0)),"")</f>
        <v/>
      </c>
    </row>
    <row r="35" customFormat="false" ht="15" hidden="false" customHeight="false" outlineLevel="0" collapsed="false">
      <c r="A35" s="22" t="str">
        <f aca="false">IF(B35="","",COUNTIFS(Overall!$C$2:$C$1000,"RB",Overall!$F$2:$F$1000,"&gt;"&amp;C35)+1)</f>
        <v/>
      </c>
      <c r="B35" s="11" t="str">
        <f aca="false">IFERROR(INDEX(Overall!$B$2:$B$1000,MATCH("RB|34",Overall!$I$2:$I$1000,0)),"")</f>
        <v/>
      </c>
      <c r="C35" s="19" t="str">
        <f aca="false">IFERROR(INDEX(Overall!$F$2:$F$1000,MATCH("RB|34",Overall!$I$2:$I$1000,0)),"")</f>
        <v/>
      </c>
    </row>
    <row r="36" customFormat="false" ht="15" hidden="false" customHeight="false" outlineLevel="0" collapsed="false">
      <c r="A36" s="22" t="str">
        <f aca="false">IF(B36="","",COUNTIFS(Overall!$C$2:$C$1000,"RB",Overall!$F$2:$F$1000,"&gt;"&amp;C36)+1)</f>
        <v/>
      </c>
      <c r="B36" s="11" t="str">
        <f aca="false">IFERROR(INDEX(Overall!$B$2:$B$1000,MATCH("RB|35",Overall!$I$2:$I$1000,0)),"")</f>
        <v/>
      </c>
      <c r="C36" s="19" t="str">
        <f aca="false">IFERROR(INDEX(Overall!$F$2:$F$1000,MATCH("RB|35",Overall!$I$2:$I$1000,0)),"")</f>
        <v/>
      </c>
    </row>
    <row r="37" customFormat="false" ht="15" hidden="false" customHeight="false" outlineLevel="0" collapsed="false">
      <c r="A37" s="22" t="str">
        <f aca="false">IF(B37="","",COUNTIFS(Overall!$C$2:$C$1000,"RB",Overall!$F$2:$F$1000,"&gt;"&amp;C37)+1)</f>
        <v/>
      </c>
      <c r="B37" s="11" t="str">
        <f aca="false">IFERROR(INDEX(Overall!$B$2:$B$1000,MATCH("RB|36",Overall!$I$2:$I$1000,0)),"")</f>
        <v/>
      </c>
      <c r="C37" s="19" t="str">
        <f aca="false">IFERROR(INDEX(Overall!$F$2:$F$1000,MATCH("RB|36",Overall!$I$2:$I$1000,0)),"")</f>
        <v/>
      </c>
    </row>
    <row r="38" customFormat="false" ht="15" hidden="false" customHeight="false" outlineLevel="0" collapsed="false">
      <c r="A38" s="22" t="str">
        <f aca="false">IF(B38="","",COUNTIFS(Overall!$C$2:$C$1000,"RB",Overall!$F$2:$F$1000,"&gt;"&amp;C38)+1)</f>
        <v/>
      </c>
      <c r="B38" s="11" t="str">
        <f aca="false">IFERROR(INDEX(Overall!$B$2:$B$1000,MATCH("RB|37",Overall!$I$2:$I$1000,0)),"")</f>
        <v/>
      </c>
      <c r="C38" s="19" t="str">
        <f aca="false">IFERROR(INDEX(Overall!$F$2:$F$1000,MATCH("RB|37",Overall!$I$2:$I$1000,0)),"")</f>
        <v/>
      </c>
    </row>
    <row r="39" customFormat="false" ht="15" hidden="false" customHeight="false" outlineLevel="0" collapsed="false">
      <c r="A39" s="22" t="str">
        <f aca="false">IF(B39="","",COUNTIFS(Overall!$C$2:$C$1000,"RB",Overall!$F$2:$F$1000,"&gt;"&amp;C39)+1)</f>
        <v/>
      </c>
      <c r="B39" s="11" t="str">
        <f aca="false">IFERROR(INDEX(Overall!$B$2:$B$1000,MATCH("RB|38",Overall!$I$2:$I$1000,0)),"")</f>
        <v/>
      </c>
      <c r="C39" s="19" t="str">
        <f aca="false">IFERROR(INDEX(Overall!$F$2:$F$1000,MATCH("RB|38",Overall!$I$2:$I$1000,0)),"")</f>
        <v/>
      </c>
    </row>
    <row r="40" customFormat="false" ht="15" hidden="false" customHeight="false" outlineLevel="0" collapsed="false">
      <c r="A40" s="22" t="str">
        <f aca="false">IF(B40="","",COUNTIFS(Overall!$C$2:$C$1000,"RB",Overall!$F$2:$F$1000,"&gt;"&amp;C40)+1)</f>
        <v/>
      </c>
      <c r="B40" s="11" t="str">
        <f aca="false">IFERROR(INDEX(Overall!$B$2:$B$1000,MATCH("RB|39",Overall!$I$2:$I$1000,0)),"")</f>
        <v/>
      </c>
      <c r="C40" s="19" t="str">
        <f aca="false">IFERROR(INDEX(Overall!$F$2:$F$1000,MATCH("RB|39",Overall!$I$2:$I$1000,0)),"")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IF(B41="","",COUNTIFS(Overall!$C$2:$C$1000,"RB",Overall!$F$2:$F$1000,"&gt;"&amp;C41)+1)</f>
        <v/>
      </c>
      <c r="B41" s="11" t="str">
        <f aca="false">IFERROR(INDEX(Overall!$B$2:$B$1000,MATCH("RB|40",Overall!$I$2:$I$1000,0)),"")</f>
        <v/>
      </c>
      <c r="C41" s="19" t="str">
        <f aca="false">IFERROR(INDEX(Overall!$F$2:$F$1000,MATCH("RB|40",Overall!$I$2:$I$1000,0)),"")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IF(B42="","",COUNTIFS(Overall!$C$2:$C$1000,"RB",Overall!$F$2:$F$1000,"&gt;"&amp;C42)+1)</f>
        <v/>
      </c>
      <c r="B42" s="11" t="str">
        <f aca="false">IFERROR(INDEX(Overall!$B$2:$B$1000,MATCH("RB|41",Overall!$I$2:$I$1000,0)),"")</f>
        <v/>
      </c>
      <c r="C42" s="19" t="str">
        <f aca="false">IFERROR(INDEX(Overall!$F$2:$F$1000,MATCH("RB|41",Overall!$I$2:$I$1000,0)),"")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IF(B43="","",COUNTIFS(Overall!$C$2:$C$1000,"RB",Overall!$F$2:$F$1000,"&gt;"&amp;C43)+1)</f>
        <v/>
      </c>
      <c r="B43" s="11" t="str">
        <f aca="false">IFERROR(INDEX(Overall!$B$2:$B$1000,MATCH("RB|42",Overall!$I$2:$I$1000,0)),"")</f>
        <v/>
      </c>
      <c r="C43" s="19" t="str">
        <f aca="false">IFERROR(INDEX(Overall!$F$2:$F$1000,MATCH("RB|42",Overall!$I$2:$I$1000,0)),"")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IF(B44="","",COUNTIFS(Overall!$C$2:$C$1000,"RB",Overall!$F$2:$F$1000,"&gt;"&amp;C44)+1)</f>
        <v/>
      </c>
      <c r="B44" s="11" t="str">
        <f aca="false">IFERROR(INDEX(Overall!$B$2:$B$1000,MATCH("RB|43",Overall!$I$2:$I$1000,0)),"")</f>
        <v/>
      </c>
      <c r="C44" s="19" t="str">
        <f aca="false">IFERROR(INDEX(Overall!$F$2:$F$1000,MATCH("RB|43",Overall!$I$2:$I$1000,0)),"")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IF(B45="","",COUNTIFS(Overall!$C$2:$C$1000,"RB",Overall!$F$2:$F$1000,"&gt;"&amp;C45)+1)</f>
        <v/>
      </c>
      <c r="B45" s="11" t="str">
        <f aca="false">IFERROR(INDEX(Overall!$B$2:$B$1000,MATCH("RB|44",Overall!$I$2:$I$1000,0)),"")</f>
        <v/>
      </c>
      <c r="C45" s="19" t="str">
        <f aca="false">IFERROR(INDEX(Overall!$F$2:$F$1000,MATCH("RB|44",Overall!$I$2:$I$1000,0)),"")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IF(B46="","",COUNTIFS(Overall!$C$2:$C$1000,"RB",Overall!$F$2:$F$1000,"&gt;"&amp;C46)+1)</f>
        <v/>
      </c>
      <c r="B46" s="11" t="str">
        <f aca="false">IFERROR(INDEX(Overall!$B$2:$B$1000,MATCH("RB|45",Overall!$I$2:$I$1000,0)),"")</f>
        <v/>
      </c>
      <c r="C46" s="19" t="str">
        <f aca="false">IFERROR(INDEX(Overall!$F$2:$F$1000,MATCH("RB|45",Overall!$I$2:$I$1000,0)),"")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IF(B47="","",COUNTIFS(Overall!$C$2:$C$1000,"RB",Overall!$F$2:$F$1000,"&gt;"&amp;C47)+1)</f>
        <v/>
      </c>
      <c r="B47" s="11" t="str">
        <f aca="false">IFERROR(INDEX(Overall!$B$2:$B$1000,MATCH("RB|46",Overall!$I$2:$I$1000,0)),"")</f>
        <v/>
      </c>
      <c r="C47" s="19" t="str">
        <f aca="false">IFERROR(INDEX(Overall!$F$2:$F$1000,MATCH("RB|46",Overall!$I$2:$I$1000,0)),"")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IF(B48="","",COUNTIFS(Overall!$C$2:$C$1000,"RB",Overall!$F$2:$F$1000,"&gt;"&amp;C48)+1)</f>
        <v/>
      </c>
      <c r="B48" s="11" t="str">
        <f aca="false">IFERROR(INDEX(Overall!$B$2:$B$1000,MATCH("RB|47",Overall!$I$2:$I$1000,0)),"")</f>
        <v/>
      </c>
      <c r="C48" s="19" t="str">
        <f aca="false">IFERROR(INDEX(Overall!$F$2:$F$1000,MATCH("RB|47",Overall!$I$2:$I$1000,0)),"")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IF(B49="","",COUNTIFS(Overall!$C$2:$C$1000,"RB",Overall!$F$2:$F$1000,"&gt;"&amp;C49)+1)</f>
        <v/>
      </c>
      <c r="B49" s="11" t="str">
        <f aca="false">IFERROR(INDEX(Overall!$B$2:$B$1000,MATCH("RB|48",Overall!$I$2:$I$1000,0)),"")</f>
        <v/>
      </c>
      <c r="C49" s="19" t="str">
        <f aca="false">IFERROR(INDEX(Overall!$F$2:$F$1000,MATCH("RB|48",Overall!$I$2:$I$1000,0)),"")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IF(B50="","",COUNTIFS(Overall!$C$2:$C$1000,"RB",Overall!$F$2:$F$1000,"&gt;"&amp;C50)+1)</f>
        <v/>
      </c>
      <c r="B50" s="11" t="str">
        <f aca="false">IFERROR(INDEX(Overall!$B$2:$B$1000,MATCH("RB|49",Overall!$I$2:$I$1000,0)),"")</f>
        <v/>
      </c>
      <c r="C50" s="19" t="str">
        <f aca="false">IFERROR(INDEX(Overall!$F$2:$F$1000,MATCH("RB|49",Overall!$I$2:$I$1000,0)),"")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IF(B51="","",COUNTIFS(Overall!$C$2:$C$1000,"RB",Overall!$F$2:$F$1000,"&gt;"&amp;C51)+1)</f>
        <v/>
      </c>
      <c r="B51" s="11" t="str">
        <f aca="false">IFERROR(INDEX(Overall!$B$2:$B$1000,MATCH("RB|50",Overall!$I$2:$I$1000,0)),"")</f>
        <v/>
      </c>
      <c r="C51" s="19" t="str">
        <f aca="false">IFERROR(INDEX(Overall!$F$2:$F$1000,MATCH("RB|50",Overall!$I$2:$I$1000,0)),"")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IF(B52="","",COUNTIFS(Overall!$C$2:$C$1000,"RB",Overall!$F$2:$F$1000,"&gt;"&amp;C52)+1)</f>
        <v/>
      </c>
      <c r="B52" s="11" t="str">
        <f aca="false">IFERROR(INDEX(Overall!$B$2:$B$1000,MATCH("RB|51",Overall!$I$2:$I$1000,0)),"")</f>
        <v/>
      </c>
      <c r="C52" s="19" t="str">
        <f aca="false">IFERROR(INDEX(Overall!$F$2:$F$1000,MATCH("RB|51",Overall!$I$2:$I$1000,0)),"")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IF(B53="","",COUNTIFS(Overall!$C$2:$C$1000,"RB",Overall!$F$2:$F$1000,"&gt;"&amp;C53)+1)</f>
        <v/>
      </c>
      <c r="B53" s="11" t="str">
        <f aca="false">IFERROR(INDEX(Overall!$B$2:$B$1000,MATCH("RB|52",Overall!$I$2:$I$1000,0)),"")</f>
        <v/>
      </c>
      <c r="C53" s="19" t="str">
        <f aca="false">IFERROR(INDEX(Overall!$F$2:$F$1000,MATCH("RB|52",Overall!$I$2:$I$1000,0)),"")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IF(B54="","",COUNTIFS(Overall!$C$2:$C$1000,"RB",Overall!$F$2:$F$1000,"&gt;"&amp;C54)+1)</f>
        <v/>
      </c>
      <c r="B54" s="11" t="str">
        <f aca="false">IFERROR(INDEX(Overall!$B$2:$B$1000,MATCH("RB|53",Overall!$I$2:$I$1000,0)),"")</f>
        <v/>
      </c>
      <c r="C54" s="19" t="str">
        <f aca="false">IFERROR(INDEX(Overall!$F$2:$F$1000,MATCH("RB|53",Overall!$I$2:$I$1000,0)),"")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IF(B55="","",COUNTIFS(Overall!$C$2:$C$1000,"RB",Overall!$F$2:$F$1000,"&gt;"&amp;C55)+1)</f>
        <v/>
      </c>
      <c r="B55" s="11" t="str">
        <f aca="false">IFERROR(INDEX(Overall!$B$2:$B$1000,MATCH("RB|54",Overall!$I$2:$I$1000,0)),"")</f>
        <v/>
      </c>
      <c r="C55" s="19" t="str">
        <f aca="false">IFERROR(INDEX(Overall!$F$2:$F$1000,MATCH("RB|54",Overall!$I$2:$I$1000,0)),"")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IF(B56="","",COUNTIFS(Overall!$C$2:$C$1000,"RB",Overall!$F$2:$F$1000,"&gt;"&amp;C56)+1)</f>
        <v/>
      </c>
      <c r="B56" s="11" t="str">
        <f aca="false">IFERROR(INDEX(Overall!$B$2:$B$1000,MATCH("RB|55",Overall!$I$2:$I$1000,0)),"")</f>
        <v/>
      </c>
      <c r="C56" s="19" t="str">
        <f aca="false">IFERROR(INDEX(Overall!$F$2:$F$1000,MATCH("RB|55",Overall!$I$2:$I$1000,0)),"")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IF(B57="","",COUNTIFS(Overall!$C$2:$C$1000,"RB",Overall!$F$2:$F$1000,"&gt;"&amp;C57)+1)</f>
        <v/>
      </c>
      <c r="B57" s="11" t="str">
        <f aca="false">IFERROR(INDEX(Overall!$B$2:$B$1000,MATCH("RB|56",Overall!$I$2:$I$1000,0)),"")</f>
        <v/>
      </c>
      <c r="C57" s="19" t="str">
        <f aca="false">IFERROR(INDEX(Overall!$F$2:$F$1000,MATCH("RB|56",Overall!$I$2:$I$1000,0)),"")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IF(B58="","",COUNTIFS(Overall!$C$2:$C$1000,"RB",Overall!$F$2:$F$1000,"&gt;"&amp;C58)+1)</f>
        <v/>
      </c>
      <c r="B58" s="11" t="str">
        <f aca="false">IFERROR(INDEX(Overall!$B$2:$B$1000,MATCH("RB|57",Overall!$I$2:$I$1000,0)),"")</f>
        <v/>
      </c>
      <c r="C58" s="19" t="str">
        <f aca="false">IFERROR(INDEX(Overall!$F$2:$F$1000,MATCH("RB|57",Overall!$I$2:$I$1000,0)),"")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IF(B59="","",COUNTIFS(Overall!$C$2:$C$1000,"RB",Overall!$F$2:$F$1000,"&gt;"&amp;C59)+1)</f>
        <v/>
      </c>
      <c r="B59" s="11" t="str">
        <f aca="false">IFERROR(INDEX(Overall!$B$2:$B$1000,MATCH("RB|58",Overall!$I$2:$I$1000,0)),"")</f>
        <v/>
      </c>
      <c r="C59" s="19" t="str">
        <f aca="false">IFERROR(INDEX(Overall!$F$2:$F$1000,MATCH("RB|58",Overall!$I$2:$I$1000,0)),"")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IF(B60="","",COUNTIFS(Overall!$C$2:$C$1000,"RB",Overall!$F$2:$F$1000,"&gt;"&amp;C60)+1)</f>
        <v/>
      </c>
      <c r="B60" s="11" t="str">
        <f aca="false">IFERROR(INDEX(Overall!$B$2:$B$1000,MATCH("RB|59",Overall!$I$2:$I$1000,0)),"")</f>
        <v/>
      </c>
      <c r="C60" s="19" t="str">
        <f aca="false">IFERROR(INDEX(Overall!$F$2:$F$1000,MATCH("RB|59",Overall!$I$2:$I$1000,0)),"")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IF(B61="","",COUNTIFS(Overall!$C$2:$C$1000,"RB",Overall!$F$2:$F$1000,"&gt;"&amp;C61)+1)</f>
        <v/>
      </c>
      <c r="B61" s="11" t="str">
        <f aca="false">IFERROR(INDEX(Overall!$B$2:$B$1000,MATCH("RB|60",Overall!$I$2:$I$1000,0)),"")</f>
        <v/>
      </c>
      <c r="C61" s="19" t="str">
        <f aca="false">IFERROR(INDEX(Overall!$F$2:$F$1000,MATCH("RB|60",Overall!$I$2:$I$1000,0)),"")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IF(B62="","",COUNTIFS(Overall!$C$2:$C$1000,"RB",Overall!$F$2:$F$1000,"&gt;"&amp;C62)+1)</f>
        <v/>
      </c>
      <c r="B62" s="11" t="str">
        <f aca="false">IFERROR(INDEX(Overall!$B$2:$B$1000,MATCH("RB|61",Overall!$I$2:$I$1000,0)),"")</f>
        <v/>
      </c>
      <c r="C62" s="19" t="str">
        <f aca="false">IFERROR(INDEX(Overall!$F$2:$F$1000,MATCH("RB|61",Overall!$I$2:$I$1000,0)),"")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IF(B63="","",COUNTIFS(Overall!$C$2:$C$1000,"RB",Overall!$F$2:$F$1000,"&gt;"&amp;C63)+1)</f>
        <v/>
      </c>
      <c r="B63" s="11" t="str">
        <f aca="false">IFERROR(INDEX(Overall!$B$2:$B$1000,MATCH("RB|62",Overall!$I$2:$I$1000,0)),"")</f>
        <v/>
      </c>
      <c r="C63" s="19" t="str">
        <f aca="false">IFERROR(INDEX(Overall!$F$2:$F$1000,MATCH("RB|62",Overall!$I$2:$I$1000,0)),"")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IF(B64="","",COUNTIFS(Overall!$C$2:$C$1000,"RB",Overall!$F$2:$F$1000,"&gt;"&amp;C64)+1)</f>
        <v/>
      </c>
      <c r="B64" s="11" t="str">
        <f aca="false">IFERROR(INDEX(Overall!$B$2:$B$1000,MATCH("RB|63",Overall!$I$2:$I$1000,0)),"")</f>
        <v/>
      </c>
      <c r="C64" s="19" t="str">
        <f aca="false">IFERROR(INDEX(Overall!$F$2:$F$1000,MATCH("RB|63",Overall!$I$2:$I$1000,0)),"")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IF(B65="","",COUNTIFS(Overall!$C$2:$C$1000,"RB",Overall!$F$2:$F$1000,"&gt;"&amp;C65)+1)</f>
        <v/>
      </c>
      <c r="B65" s="11" t="str">
        <f aca="false">IFERROR(INDEX(Overall!$B$2:$B$1000,MATCH("RB|64",Overall!$I$2:$I$1000,0)),"")</f>
        <v/>
      </c>
      <c r="C65" s="19" t="str">
        <f aca="false">IFERROR(INDEX(Overall!$F$2:$F$1000,MATCH("RB|64",Overall!$I$2:$I$1000,0)),"")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IF(B66="","",COUNTIFS(Overall!$C$2:$C$1000,"RB",Overall!$F$2:$F$1000,"&gt;"&amp;C66)+1)</f>
        <v/>
      </c>
      <c r="B66" s="11" t="str">
        <f aca="false">IFERROR(INDEX(Overall!$B$2:$B$1000,MATCH("RB|65",Overall!$I$2:$I$1000,0)),"")</f>
        <v/>
      </c>
      <c r="C66" s="19" t="str">
        <f aca="false">IFERROR(INDEX(Overall!$F$2:$F$1000,MATCH("RB|65",Overall!$I$2:$I$1000,0)),"")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IF(B67="","",COUNTIFS(Overall!$C$2:$C$1000,"RB",Overall!$F$2:$F$1000,"&gt;"&amp;C67)+1)</f>
        <v/>
      </c>
      <c r="B67" s="11" t="str">
        <f aca="false">IFERROR(INDEX(Overall!$B$2:$B$1000,MATCH("RB|66",Overall!$I$2:$I$1000,0)),"")</f>
        <v/>
      </c>
      <c r="C67" s="19" t="str">
        <f aca="false">IFERROR(INDEX(Overall!$F$2:$F$1000,MATCH("RB|66",Overall!$I$2:$I$1000,0)),"")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IF(B68="","",COUNTIFS(Overall!$C$2:$C$1000,"RB",Overall!$F$2:$F$1000,"&gt;"&amp;C68)+1)</f>
        <v/>
      </c>
      <c r="B68" s="11" t="str">
        <f aca="false">IFERROR(INDEX(Overall!$B$2:$B$1000,MATCH("RB|67",Overall!$I$2:$I$1000,0)),"")</f>
        <v/>
      </c>
      <c r="C68" s="19" t="str">
        <f aca="false">IFERROR(INDEX(Overall!$F$2:$F$1000,MATCH("RB|67",Overall!$I$2:$I$1000,0)),"")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IF(B69="","",COUNTIFS(Overall!$C$2:$C$1000,"RB",Overall!$F$2:$F$1000,"&gt;"&amp;C69)+1)</f>
        <v/>
      </c>
      <c r="B69" s="11" t="str">
        <f aca="false">IFERROR(INDEX(Overall!$B$2:$B$1000,MATCH("RB|68",Overall!$I$2:$I$1000,0)),"")</f>
        <v/>
      </c>
      <c r="C69" s="19" t="str">
        <f aca="false">IFERROR(INDEX(Overall!$F$2:$F$1000,MATCH("RB|68",Overall!$I$2:$I$1000,0)),"")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IF(B70="","",COUNTIFS(Overall!$C$2:$C$1000,"RB",Overall!$F$2:$F$1000,"&gt;"&amp;C70)+1)</f>
        <v/>
      </c>
      <c r="B70" s="11" t="str">
        <f aca="false">IFERROR(INDEX(Overall!$B$2:$B$1000,MATCH("RB|69",Overall!$I$2:$I$1000,0)),"")</f>
        <v/>
      </c>
      <c r="C70" s="19" t="str">
        <f aca="false">IFERROR(INDEX(Overall!$F$2:$F$1000,MATCH("RB|69",Overall!$I$2:$I$1000,0)),"")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IF(B71="","",COUNTIFS(Overall!$C$2:$C$1000,"RB",Overall!$F$2:$F$1000,"&gt;"&amp;C71)+1)</f>
        <v/>
      </c>
      <c r="B71" s="11" t="str">
        <f aca="false">IFERROR(INDEX(Overall!$B$2:$B$1000,MATCH("RB|70",Overall!$I$2:$I$1000,0)),"")</f>
        <v/>
      </c>
      <c r="C71" s="19" t="str">
        <f aca="false">IFERROR(INDEX(Overall!$F$2:$F$1000,MATCH("RB|70",Overall!$I$2:$I$1000,0)),"")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IF(B72="","",COUNTIFS(Overall!$C$2:$C$1000,"RB",Overall!$F$2:$F$1000,"&gt;"&amp;C72)+1)</f>
        <v/>
      </c>
      <c r="B72" s="11" t="str">
        <f aca="false">IFERROR(INDEX(Overall!$B$2:$B$1000,MATCH("RB|71",Overall!$I$2:$I$1000,0)),"")</f>
        <v/>
      </c>
      <c r="C72" s="19" t="str">
        <f aca="false">IFERROR(INDEX(Overall!$F$2:$F$1000,MATCH("RB|71",Overall!$I$2:$I$1000,0)),"")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IF(B73="","",COUNTIFS(Overall!$C$2:$C$1000,"RB",Overall!$F$2:$F$1000,"&gt;"&amp;C73)+1)</f>
        <v/>
      </c>
      <c r="B73" s="11" t="str">
        <f aca="false">IFERROR(INDEX(Overall!$B$2:$B$1000,MATCH("RB|72",Overall!$I$2:$I$1000,0)),"")</f>
        <v/>
      </c>
      <c r="C73" s="19" t="str">
        <f aca="false">IFERROR(INDEX(Overall!$F$2:$F$1000,MATCH("RB|72",Overall!$I$2:$I$1000,0)),"")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IF(B74="","",COUNTIFS(Overall!$C$2:$C$1000,"RB",Overall!$F$2:$F$1000,"&gt;"&amp;C74)+1)</f>
        <v/>
      </c>
      <c r="B74" s="11" t="str">
        <f aca="false">IFERROR(INDEX(Overall!$B$2:$B$1000,MATCH("RB|73",Overall!$I$2:$I$1000,0)),"")</f>
        <v/>
      </c>
      <c r="C74" s="19" t="str">
        <f aca="false">IFERROR(INDEX(Overall!$F$2:$F$1000,MATCH("RB|73",Overall!$I$2:$I$1000,0)),"")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IF(B75="","",COUNTIFS(Overall!$C$2:$C$1000,"RB",Overall!$F$2:$F$1000,"&gt;"&amp;C75)+1)</f>
        <v/>
      </c>
      <c r="B75" s="11" t="str">
        <f aca="false">IFERROR(INDEX(Overall!$B$2:$B$1000,MATCH("RB|74",Overall!$I$2:$I$1000,0)),"")</f>
        <v/>
      </c>
      <c r="C75" s="19" t="str">
        <f aca="false">IFERROR(INDEX(Overall!$F$2:$F$1000,MATCH("RB|74",Overall!$I$2:$I$1000,0)),"")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IF(B76="","",COUNTIFS(Overall!$C$2:$C$1000,"RB",Overall!$F$2:$F$1000,"&gt;"&amp;C76)+1)</f>
        <v/>
      </c>
      <c r="B76" s="11" t="str">
        <f aca="false">IFERROR(INDEX(Overall!$B$2:$B$1000,MATCH("RB|75",Overall!$I$2:$I$1000,0)),"")</f>
        <v/>
      </c>
      <c r="C76" s="19" t="str">
        <f aca="false">IFERROR(INDEX(Overall!$F$2:$F$1000,MATCH("RB|75",Overall!$I$2:$I$1000,0)),"")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IF(B77="","",COUNTIFS(Overall!$C$2:$C$1000,"RB",Overall!$F$2:$F$1000,"&gt;"&amp;C77)+1)</f>
        <v/>
      </c>
      <c r="B77" s="11" t="str">
        <f aca="false">IFERROR(INDEX(Overall!$B$2:$B$1000,MATCH("RB|76",Overall!$I$2:$I$1000,0)),"")</f>
        <v/>
      </c>
      <c r="C77" s="19" t="str">
        <f aca="false">IFERROR(INDEX(Overall!$F$2:$F$1000,MATCH("RB|76",Overall!$I$2:$I$1000,0)),"")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IF(B78="","",COUNTIFS(Overall!$C$2:$C$1000,"RB",Overall!$F$2:$F$1000,"&gt;"&amp;C78)+1)</f>
        <v/>
      </c>
      <c r="B78" s="11" t="str">
        <f aca="false">IFERROR(INDEX(Overall!$B$2:$B$1000,MATCH("RB|77",Overall!$I$2:$I$1000,0)),"")</f>
        <v/>
      </c>
      <c r="C78" s="19" t="str">
        <f aca="false">IFERROR(INDEX(Overall!$F$2:$F$1000,MATCH("RB|77",Overall!$I$2:$I$1000,0)),"")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IF(B79="","",COUNTIFS(Overall!$C$2:$C$1000,"RB",Overall!$F$2:$F$1000,"&gt;"&amp;C79)+1)</f>
        <v/>
      </c>
      <c r="B79" s="11" t="str">
        <f aca="false">IFERROR(INDEX(Overall!$B$2:$B$1000,MATCH("RB|78",Overall!$I$2:$I$1000,0)),"")</f>
        <v/>
      </c>
      <c r="C79" s="19" t="str">
        <f aca="false">IFERROR(INDEX(Overall!$F$2:$F$1000,MATCH("RB|78",Overall!$I$2:$I$1000,0)),"")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IF(B80="","",COUNTIFS(Overall!$C$2:$C$1000,"RB",Overall!$F$2:$F$1000,"&gt;"&amp;C80)+1)</f>
        <v/>
      </c>
      <c r="B80" s="11" t="str">
        <f aca="false">IFERROR(INDEX(Overall!$B$2:$B$1000,MATCH("RB|79",Overall!$I$2:$I$1000,0)),"")</f>
        <v/>
      </c>
      <c r="C80" s="19" t="str">
        <f aca="false">IFERROR(INDEX(Overall!$F$2:$F$1000,MATCH("RB|79",Overall!$I$2:$I$1000,0)),"")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IF(B81="","",COUNTIFS(Overall!$C$2:$C$1000,"RB",Overall!$F$2:$F$1000,"&gt;"&amp;C81)+1)</f>
        <v/>
      </c>
      <c r="B81" s="11" t="str">
        <f aca="false">IFERROR(INDEX(Overall!$B$2:$B$1000,MATCH("RB|80",Overall!$I$2:$I$1000,0)),"")</f>
        <v/>
      </c>
      <c r="C81" s="19" t="str">
        <f aca="false">IFERROR(INDEX(Overall!$F$2:$F$1000,MATCH("RB|80",Overall!$I$2:$I$1000,0)),"")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IF(B82="","",COUNTIFS(Overall!$C$2:$C$1000,"RB",Overall!$F$2:$F$1000,"&gt;"&amp;C82)+1)</f>
        <v/>
      </c>
      <c r="B82" s="11" t="str">
        <f aca="false">IFERROR(INDEX(Overall!$B$2:$B$1000,MATCH("RB|81",Overall!$I$2:$I$1000,0)),"")</f>
        <v/>
      </c>
      <c r="C82" s="19" t="str">
        <f aca="false">IFERROR(INDEX(Overall!$F$2:$F$1000,MATCH("RB|81",Overall!$I$2:$I$1000,0)),"")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IF(B83="","",COUNTIFS(Overall!$C$2:$C$1000,"RB",Overall!$F$2:$F$1000,"&gt;"&amp;C83)+1)</f>
        <v/>
      </c>
      <c r="B83" s="11" t="str">
        <f aca="false">IFERROR(INDEX(Overall!$B$2:$B$1000,MATCH("RB|82",Overall!$I$2:$I$1000,0)),"")</f>
        <v/>
      </c>
      <c r="C83" s="19" t="str">
        <f aca="false">IFERROR(INDEX(Overall!$F$2:$F$1000,MATCH("RB|82",Overall!$I$2:$I$1000,0)),"")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IF(B84="","",COUNTIFS(Overall!$C$2:$C$1000,"RB",Overall!$F$2:$F$1000,"&gt;"&amp;C84)+1)</f>
        <v/>
      </c>
      <c r="B84" s="11" t="str">
        <f aca="false">IFERROR(INDEX(Overall!$B$2:$B$1000,MATCH("RB|83",Overall!$I$2:$I$1000,0)),"")</f>
        <v/>
      </c>
      <c r="C84" s="19" t="str">
        <f aca="false">IFERROR(INDEX(Overall!$F$2:$F$1000,MATCH("RB|83",Overall!$I$2:$I$1000,0)),"")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IF(B85="","",COUNTIFS(Overall!$C$2:$C$1000,"RB",Overall!$F$2:$F$1000,"&gt;"&amp;C85)+1)</f>
        <v/>
      </c>
      <c r="B85" s="11" t="str">
        <f aca="false">IFERROR(INDEX(Overall!$B$2:$B$1000,MATCH("RB|84",Overall!$I$2:$I$1000,0)),"")</f>
        <v/>
      </c>
      <c r="C85" s="19" t="str">
        <f aca="false">IFERROR(INDEX(Overall!$F$2:$F$1000,MATCH("RB|84",Overall!$I$2:$I$1000,0)),"")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IF(B86="","",COUNTIFS(Overall!$C$2:$C$1000,"RB",Overall!$F$2:$F$1000,"&gt;"&amp;C86)+1)</f>
        <v/>
      </c>
      <c r="B86" s="11" t="str">
        <f aca="false">IFERROR(INDEX(Overall!$B$2:$B$1000,MATCH("RB|85",Overall!$I$2:$I$1000,0)),"")</f>
        <v/>
      </c>
      <c r="C86" s="19" t="str">
        <f aca="false">IFERROR(INDEX(Overall!$F$2:$F$1000,MATCH("RB|85",Overall!$I$2:$I$1000,0)),"")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IF(B87="","",COUNTIFS(Overall!$C$2:$C$1000,"RB",Overall!$F$2:$F$1000,"&gt;"&amp;C87)+1)</f>
        <v/>
      </c>
      <c r="B87" s="11" t="str">
        <f aca="false">IFERROR(INDEX(Overall!$B$2:$B$1000,MATCH("RB|86",Overall!$I$2:$I$1000,0)),"")</f>
        <v/>
      </c>
      <c r="C87" s="19" t="str">
        <f aca="false">IFERROR(INDEX(Overall!$F$2:$F$1000,MATCH("RB|86",Overall!$I$2:$I$1000,0)),"")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IF(B88="","",COUNTIFS(Overall!$C$2:$C$1000,"RB",Overall!$F$2:$F$1000,"&gt;"&amp;C88)+1)</f>
        <v/>
      </c>
      <c r="B88" s="11" t="str">
        <f aca="false">IFERROR(INDEX(Overall!$B$2:$B$1000,MATCH("RB|87",Overall!$I$2:$I$1000,0)),"")</f>
        <v/>
      </c>
      <c r="C88" s="19" t="str">
        <f aca="false">IFERROR(INDEX(Overall!$F$2:$F$1000,MATCH("RB|87",Overall!$I$2:$I$1000,0)),"")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IF(B89="","",COUNTIFS(Overall!$C$2:$C$1000,"RB",Overall!$F$2:$F$1000,"&gt;"&amp;C89)+1)</f>
        <v/>
      </c>
      <c r="B89" s="11" t="str">
        <f aca="false">IFERROR(INDEX(Overall!$B$2:$B$1000,MATCH("RB|88",Overall!$I$2:$I$1000,0)),"")</f>
        <v/>
      </c>
      <c r="C89" s="19" t="str">
        <f aca="false">IFERROR(INDEX(Overall!$F$2:$F$1000,MATCH("RB|88",Overall!$I$2:$I$1000,0)),"")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IF(B90="","",COUNTIFS(Overall!$C$2:$C$1000,"RB",Overall!$F$2:$F$1000,"&gt;"&amp;C90)+1)</f>
        <v/>
      </c>
      <c r="B90" s="11" t="str">
        <f aca="false">IFERROR(INDEX(Overall!$B$2:$B$1000,MATCH("RB|89",Overall!$I$2:$I$1000,0)),"")</f>
        <v/>
      </c>
      <c r="C90" s="19" t="str">
        <f aca="false">IFERROR(INDEX(Overall!$F$2:$F$1000,MATCH("RB|89",Overall!$I$2:$I$1000,0)),"")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IF(B91="","",COUNTIFS(Overall!$C$2:$C$1000,"RB",Overall!$F$2:$F$1000,"&gt;"&amp;C91)+1)</f>
        <v/>
      </c>
      <c r="B91" s="11" t="str">
        <f aca="false">IFERROR(INDEX(Overall!$B$2:$B$1000,MATCH("RB|90",Overall!$I$2:$I$1000,0)),"")</f>
        <v/>
      </c>
      <c r="C91" s="19" t="str">
        <f aca="false">IFERROR(INDEX(Overall!$F$2:$F$1000,MATCH("RB|90",Overall!$I$2:$I$1000,0)),"")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IF(B92="","",COUNTIFS(Overall!$C$2:$C$1000,"RB",Overall!$F$2:$F$1000,"&gt;"&amp;C92)+1)</f>
        <v/>
      </c>
      <c r="B92" s="11" t="str">
        <f aca="false">IFERROR(INDEX(Overall!$B$2:$B$1000,MATCH("RB|91",Overall!$I$2:$I$1000,0)),"")</f>
        <v/>
      </c>
      <c r="C92" s="19" t="str">
        <f aca="false">IFERROR(INDEX(Overall!$F$2:$F$1000,MATCH("RB|91",Overall!$I$2:$I$1000,0)),"")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IF(B93="","",COUNTIFS(Overall!$C$2:$C$1000,"RB",Overall!$F$2:$F$1000,"&gt;"&amp;C93)+1)</f>
        <v/>
      </c>
      <c r="B93" s="11" t="str">
        <f aca="false">IFERROR(INDEX(Overall!$B$2:$B$1000,MATCH("RB|92",Overall!$I$2:$I$1000,0)),"")</f>
        <v/>
      </c>
      <c r="C93" s="19" t="str">
        <f aca="false">IFERROR(INDEX(Overall!$F$2:$F$1000,MATCH("RB|92",Overall!$I$2:$I$1000,0)),"")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IF(B94="","",COUNTIFS(Overall!$C$2:$C$1000,"RB",Overall!$F$2:$F$1000,"&gt;"&amp;C94)+1)</f>
        <v/>
      </c>
      <c r="B94" s="11" t="str">
        <f aca="false">IFERROR(INDEX(Overall!$B$2:$B$1000,MATCH("RB|93",Overall!$I$2:$I$1000,0)),"")</f>
        <v/>
      </c>
      <c r="C94" s="19" t="str">
        <f aca="false">IFERROR(INDEX(Overall!$F$2:$F$1000,MATCH("RB|93",Overall!$I$2:$I$1000,0)),"")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IF(B95="","",COUNTIFS(Overall!$C$2:$C$1000,"RB",Overall!$F$2:$F$1000,"&gt;"&amp;C95)+1)</f>
        <v/>
      </c>
      <c r="B95" s="11" t="str">
        <f aca="false">IFERROR(INDEX(Overall!$B$2:$B$1000,MATCH("RB|94",Overall!$I$2:$I$1000,0)),"")</f>
        <v/>
      </c>
      <c r="C95" s="19" t="str">
        <f aca="false">IFERROR(INDEX(Overall!$F$2:$F$1000,MATCH("RB|94",Overall!$I$2:$I$1000,0)),"")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IF(B96="","",COUNTIFS(Overall!$C$2:$C$1000,"RB",Overall!$F$2:$F$1000,"&gt;"&amp;C96)+1)</f>
        <v/>
      </c>
      <c r="B96" s="11" t="str">
        <f aca="false">IFERROR(INDEX(Overall!$B$2:$B$1000,MATCH("RB|95",Overall!$I$2:$I$1000,0)),"")</f>
        <v/>
      </c>
      <c r="C96" s="19" t="str">
        <f aca="false">IFERROR(INDEX(Overall!$F$2:$F$1000,MATCH("RB|95",Overall!$I$2:$I$1000,0)),"")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IF(B97="","",COUNTIFS(Overall!$C$2:$C$1000,"RB",Overall!$F$2:$F$1000,"&gt;"&amp;C97)+1)</f>
        <v/>
      </c>
      <c r="B97" s="11" t="str">
        <f aca="false">IFERROR(INDEX(Overall!$B$2:$B$1000,MATCH("RB|96",Overall!$I$2:$I$1000,0)),"")</f>
        <v/>
      </c>
      <c r="C97" s="19" t="str">
        <f aca="false">IFERROR(INDEX(Overall!$F$2:$F$1000,MATCH("RB|96",Overall!$I$2:$I$1000,0)),"")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IF(B98="","",COUNTIFS(Overall!$C$2:$C$1000,"RB",Overall!$F$2:$F$1000,"&gt;"&amp;C98)+1)</f>
        <v/>
      </c>
      <c r="B98" s="11" t="str">
        <f aca="false">IFERROR(INDEX(Overall!$B$2:$B$1000,MATCH("RB|97",Overall!$I$2:$I$1000,0)),"")</f>
        <v/>
      </c>
      <c r="C98" s="19" t="str">
        <f aca="false">IFERROR(INDEX(Overall!$F$2:$F$1000,MATCH("RB|97",Overall!$I$2:$I$1000,0)),"")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IF(B99="","",COUNTIFS(Overall!$C$2:$C$1000,"RB",Overall!$F$2:$F$1000,"&gt;"&amp;C99)+1)</f>
        <v/>
      </c>
      <c r="B99" s="11" t="str">
        <f aca="false">IFERROR(INDEX(Overall!$B$2:$B$1000,MATCH("RB|98",Overall!$I$2:$I$1000,0)),"")</f>
        <v/>
      </c>
      <c r="C99" s="19" t="str">
        <f aca="false">IFERROR(INDEX(Overall!$F$2:$F$1000,MATCH("RB|98",Overall!$I$2:$I$1000,0)),"")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IF(B100="","",COUNTIFS(Overall!$C$2:$C$1000,"RB",Overall!$F$2:$F$1000,"&gt;"&amp;C100)+1)</f>
        <v/>
      </c>
      <c r="B100" s="11" t="str">
        <f aca="false">IFERROR(INDEX(Overall!$B$2:$B$1000,MATCH("RB|99",Overall!$I$2:$I$1000,0)),"")</f>
        <v/>
      </c>
      <c r="C100" s="19" t="str">
        <f aca="false">IFERROR(INDEX(Overall!$F$2:$F$1000,MATCH("RB|99",Overall!$I$2:$I$1000,0)),"")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IF(B101="","",COUNTIFS(Overall!$C$2:$C$1000,"RB",Overall!$F$2:$F$1000,"&gt;"&amp;C101)+1)</f>
        <v/>
      </c>
      <c r="B101" s="11" t="str">
        <f aca="false">IFERROR(INDEX(Overall!$B$2:$B$1000,MATCH("RB|100",Overall!$I$2:$I$1000,0)),"")</f>
        <v/>
      </c>
      <c r="C101" s="19" t="str">
        <f aca="false">IFERROR(INDEX(Overall!$F$2:$F$1000,MATCH("RB|100",Overall!$I$2:$I$1000,0)),"")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IF(B102="","",COUNTIFS(Overall!$C$2:$C$1000,"RB",Overall!$F$2:$F$1000,"&gt;"&amp;C102)+1)</f>
        <v/>
      </c>
      <c r="B102" s="11" t="str">
        <f aca="false">IFERROR(INDEX(Overall!$B$2:$B$1000,MATCH("RB|101",Overall!$I$2:$I$1000,0)),"")</f>
        <v/>
      </c>
      <c r="C102" s="19" t="str">
        <f aca="false">IFERROR(INDEX(Overall!$F$2:$F$1000,MATCH("RB|101",Overall!$I$2:$I$1000,0)),"")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IF(B103="","",COUNTIFS(Overall!$C$2:$C$1000,"RB",Overall!$F$2:$F$1000,"&gt;"&amp;C103)+1)</f>
        <v/>
      </c>
      <c r="B103" s="11" t="str">
        <f aca="false">IFERROR(INDEX(Overall!$B$2:$B$1000,MATCH("RB|102",Overall!$I$2:$I$1000,0)),"")</f>
        <v/>
      </c>
      <c r="C103" s="19" t="str">
        <f aca="false">IFERROR(INDEX(Overall!$F$2:$F$1000,MATCH("RB|102",Overall!$I$2:$I$1000,0)),"")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IF(B104="","",COUNTIFS(Overall!$C$2:$C$1000,"RB",Overall!$F$2:$F$1000,"&gt;"&amp;C104)+1)</f>
        <v/>
      </c>
      <c r="B104" s="11" t="str">
        <f aca="false">IFERROR(INDEX(Overall!$B$2:$B$1000,MATCH("RB|103",Overall!$I$2:$I$1000,0)),"")</f>
        <v/>
      </c>
      <c r="C104" s="19" t="str">
        <f aca="false">IFERROR(INDEX(Overall!$F$2:$F$1000,MATCH("RB|103",Overall!$I$2:$I$1000,0)),"")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IF(B105="","",COUNTIFS(Overall!$C$2:$C$1000,"RB",Overall!$F$2:$F$1000,"&gt;"&amp;C105)+1)</f>
        <v/>
      </c>
      <c r="B105" s="11" t="str">
        <f aca="false">IFERROR(INDEX(Overall!$B$2:$B$1000,MATCH("RB|104",Overall!$I$2:$I$1000,0)),"")</f>
        <v/>
      </c>
      <c r="C105" s="19" t="str">
        <f aca="false">IFERROR(INDEX(Overall!$F$2:$F$1000,MATCH("RB|104",Overall!$I$2:$I$1000,0)),"")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IF(B106="","",COUNTIFS(Overall!$C$2:$C$1000,"RB",Overall!$F$2:$F$1000,"&gt;"&amp;C106)+1)</f>
        <v/>
      </c>
      <c r="B106" s="11" t="str">
        <f aca="false">IFERROR(INDEX(Overall!$B$2:$B$1000,MATCH("RB|105",Overall!$I$2:$I$1000,0)),"")</f>
        <v/>
      </c>
      <c r="C106" s="19" t="str">
        <f aca="false">IFERROR(INDEX(Overall!$F$2:$F$1000,MATCH("RB|105",Overall!$I$2:$I$1000,0)),"")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IF(B107="","",COUNTIFS(Overall!$C$2:$C$1000,"RB",Overall!$F$2:$F$1000,"&gt;"&amp;C107)+1)</f>
        <v/>
      </c>
      <c r="B107" s="11" t="str">
        <f aca="false">IFERROR(INDEX(Overall!$B$2:$B$1000,MATCH("RB|106",Overall!$I$2:$I$1000,0)),"")</f>
        <v/>
      </c>
      <c r="C107" s="19" t="str">
        <f aca="false">IFERROR(INDEX(Overall!$F$2:$F$1000,MATCH("RB|106",Overall!$I$2:$I$1000,0)),"")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IF(B108="","",COUNTIFS(Overall!$C$2:$C$1000,"RB",Overall!$F$2:$F$1000,"&gt;"&amp;C108)+1)</f>
        <v/>
      </c>
      <c r="B108" s="11" t="str">
        <f aca="false">IFERROR(INDEX(Overall!$B$2:$B$1000,MATCH("RB|107",Overall!$I$2:$I$1000,0)),"")</f>
        <v/>
      </c>
      <c r="C108" s="19" t="str">
        <f aca="false">IFERROR(INDEX(Overall!$F$2:$F$1000,MATCH("RB|107",Overall!$I$2:$I$1000,0)),"")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IF(B109="","",COUNTIFS(Overall!$C$2:$C$1000,"RB",Overall!$F$2:$F$1000,"&gt;"&amp;C109)+1)</f>
        <v/>
      </c>
      <c r="B109" s="11" t="str">
        <f aca="false">IFERROR(INDEX(Overall!$B$2:$B$1000,MATCH("RB|108",Overall!$I$2:$I$1000,0)),"")</f>
        <v/>
      </c>
      <c r="C109" s="19" t="str">
        <f aca="false">IFERROR(INDEX(Overall!$F$2:$F$1000,MATCH("RB|108",Overall!$I$2:$I$1000,0)),"")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IF(B110="","",COUNTIFS(Overall!$C$2:$C$1000,"RB",Overall!$F$2:$F$1000,"&gt;"&amp;C110)+1)</f>
        <v/>
      </c>
      <c r="B110" s="11" t="str">
        <f aca="false">IFERROR(INDEX(Overall!$B$2:$B$1000,MATCH("RB|109",Overall!$I$2:$I$1000,0)),"")</f>
        <v/>
      </c>
      <c r="C110" s="19" t="str">
        <f aca="false">IFERROR(INDEX(Overall!$F$2:$F$1000,MATCH("RB|109",Overall!$I$2:$I$1000,0)),"")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IF(B111="","",COUNTIFS(Overall!$C$2:$C$1000,"RB",Overall!$F$2:$F$1000,"&gt;"&amp;C111)+1)</f>
        <v/>
      </c>
      <c r="B111" s="11" t="str">
        <f aca="false">IFERROR(INDEX(Overall!$B$2:$B$1000,MATCH("RB|110",Overall!$I$2:$I$1000,0)),"")</f>
        <v/>
      </c>
      <c r="C111" s="19" t="str">
        <f aca="false">IFERROR(INDEX(Overall!$F$2:$F$1000,MATCH("RB|110",Overall!$I$2:$I$1000,0)),"")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IF(B112="","",COUNTIFS(Overall!$C$2:$C$1000,"RB",Overall!$F$2:$F$1000,"&gt;"&amp;C112)+1)</f>
        <v/>
      </c>
      <c r="B112" s="11" t="str">
        <f aca="false">IFERROR(INDEX(Overall!$B$2:$B$1000,MATCH("RB|111",Overall!$I$2:$I$1000,0)),"")</f>
        <v/>
      </c>
      <c r="C112" s="19" t="str">
        <f aca="false">IFERROR(INDEX(Overall!$F$2:$F$1000,MATCH("RB|111",Overall!$I$2:$I$1000,0)),"")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IF(B113="","",COUNTIFS(Overall!$C$2:$C$1000,"RB",Overall!$F$2:$F$1000,"&gt;"&amp;C113)+1)</f>
        <v/>
      </c>
      <c r="B113" s="11" t="str">
        <f aca="false">IFERROR(INDEX(Overall!$B$2:$B$1000,MATCH("RB|112",Overall!$I$2:$I$1000,0)),"")</f>
        <v/>
      </c>
      <c r="C113" s="19" t="str">
        <f aca="false">IFERROR(INDEX(Overall!$F$2:$F$1000,MATCH("RB|112",Overall!$I$2:$I$1000,0)),"")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IF(B114="","",COUNTIFS(Overall!$C$2:$C$1000,"RB",Overall!$F$2:$F$1000,"&gt;"&amp;C114)+1)</f>
        <v/>
      </c>
      <c r="B114" s="11" t="str">
        <f aca="false">IFERROR(INDEX(Overall!$B$2:$B$1000,MATCH("RB|113",Overall!$I$2:$I$1000,0)),"")</f>
        <v/>
      </c>
      <c r="C114" s="19" t="str">
        <f aca="false">IFERROR(INDEX(Overall!$F$2:$F$1000,MATCH("RB|113",Overall!$I$2:$I$1000,0)),"")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IF(B115="","",COUNTIFS(Overall!$C$2:$C$1000,"RB",Overall!$F$2:$F$1000,"&gt;"&amp;C115)+1)</f>
        <v/>
      </c>
      <c r="B115" s="11" t="str">
        <f aca="false">IFERROR(INDEX(Overall!$B$2:$B$1000,MATCH("RB|114",Overall!$I$2:$I$1000,0)),"")</f>
        <v/>
      </c>
      <c r="C115" s="19" t="str">
        <f aca="false">IFERROR(INDEX(Overall!$F$2:$F$1000,MATCH("RB|114",Overall!$I$2:$I$1000,0)),"")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IF(B116="","",COUNTIFS(Overall!$C$2:$C$1000,"RB",Overall!$F$2:$F$1000,"&gt;"&amp;C116)+1)</f>
        <v/>
      </c>
      <c r="B116" s="11" t="str">
        <f aca="false">IFERROR(INDEX(Overall!$B$2:$B$1000,MATCH("RB|115",Overall!$I$2:$I$1000,0)),"")</f>
        <v/>
      </c>
      <c r="C116" s="19" t="str">
        <f aca="false">IFERROR(INDEX(Overall!$F$2:$F$1000,MATCH("RB|115",Overall!$I$2:$I$1000,0)),"")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IF(B117="","",COUNTIFS(Overall!$C$2:$C$1000,"RB",Overall!$F$2:$F$1000,"&gt;"&amp;C117)+1)</f>
        <v/>
      </c>
      <c r="B117" s="11" t="str">
        <f aca="false">IFERROR(INDEX(Overall!$B$2:$B$1000,MATCH("RB|116",Overall!$I$2:$I$1000,0)),"")</f>
        <v/>
      </c>
      <c r="C117" s="19" t="str">
        <f aca="false">IFERROR(INDEX(Overall!$F$2:$F$1000,MATCH("RB|116",Overall!$I$2:$I$1000,0)),"")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IF(B118="","",COUNTIFS(Overall!$C$2:$C$1000,"RB",Overall!$F$2:$F$1000,"&gt;"&amp;C118)+1)</f>
        <v/>
      </c>
      <c r="B118" s="11" t="str">
        <f aca="false">IFERROR(INDEX(Overall!$B$2:$B$1000,MATCH("RB|117",Overall!$I$2:$I$1000,0)),"")</f>
        <v/>
      </c>
      <c r="C118" s="19" t="str">
        <f aca="false">IFERROR(INDEX(Overall!$F$2:$F$1000,MATCH("RB|117",Overall!$I$2:$I$1000,0)),"")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IF(B119="","",COUNTIFS(Overall!$C$2:$C$1000,"RB",Overall!$F$2:$F$1000,"&gt;"&amp;C119)+1)</f>
        <v/>
      </c>
      <c r="B119" s="11" t="str">
        <f aca="false">IFERROR(INDEX(Overall!$B$2:$B$1000,MATCH("RB|118",Overall!$I$2:$I$1000,0)),"")</f>
        <v/>
      </c>
      <c r="C119" s="19" t="str">
        <f aca="false">IFERROR(INDEX(Overall!$F$2:$F$1000,MATCH("RB|118",Overall!$I$2:$I$1000,0)),"")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IF(B120="","",COUNTIFS(Overall!$C$2:$C$1000,"RB",Overall!$F$2:$F$1000,"&gt;"&amp;C120)+1)</f>
        <v/>
      </c>
      <c r="B120" s="11" t="str">
        <f aca="false">IFERROR(INDEX(Overall!$B$2:$B$1000,MATCH("RB|119",Overall!$I$2:$I$1000,0)),"")</f>
        <v/>
      </c>
      <c r="C120" s="19" t="str">
        <f aca="false">IFERROR(INDEX(Overall!$F$2:$F$1000,MATCH("RB|119",Overall!$I$2:$I$1000,0)),"")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IF(B121="","",COUNTIFS(Overall!$C$2:$C$1000,"RB",Overall!$F$2:$F$1000,"&gt;"&amp;C121)+1)</f>
        <v/>
      </c>
      <c r="B121" s="11" t="str">
        <f aca="false">IFERROR(INDEX(Overall!$B$2:$B$1000,MATCH("RB|120",Overall!$I$2:$I$1000,0)),"")</f>
        <v/>
      </c>
      <c r="C121" s="19" t="str">
        <f aca="false">IFERROR(INDEX(Overall!$F$2:$F$1000,MATCH("RB|120",Overall!$I$2:$I$1000,0)),"")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IF(B122="","",COUNTIFS(Overall!$C$2:$C$1000,"RB",Overall!$F$2:$F$1000,"&gt;"&amp;C122)+1)</f>
        <v/>
      </c>
      <c r="B122" s="11" t="str">
        <f aca="false">IFERROR(INDEX(Overall!$B$2:$B$1000,MATCH("RB|121",Overall!$I$2:$I$1000,0)),"")</f>
        <v/>
      </c>
      <c r="C122" s="19" t="str">
        <f aca="false">IFERROR(INDEX(Overall!$F$2:$F$1000,MATCH("RB|121",Overall!$I$2:$I$1000,0)),"")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IF(B123="","",COUNTIFS(Overall!$C$2:$C$1000,"RB",Overall!$F$2:$F$1000,"&gt;"&amp;C123)+1)</f>
        <v/>
      </c>
      <c r="B123" s="11" t="str">
        <f aca="false">IFERROR(INDEX(Overall!$B$2:$B$1000,MATCH("RB|122",Overall!$I$2:$I$1000,0)),"")</f>
        <v/>
      </c>
      <c r="C123" s="19" t="str">
        <f aca="false">IFERROR(INDEX(Overall!$F$2:$F$1000,MATCH("RB|122",Overall!$I$2:$I$1000,0)),"")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IF(B124="","",COUNTIFS(Overall!$C$2:$C$1000,"RB",Overall!$F$2:$F$1000,"&gt;"&amp;C124)+1)</f>
        <v/>
      </c>
      <c r="B124" s="11" t="str">
        <f aca="false">IFERROR(INDEX(Overall!$B$2:$B$1000,MATCH("RB|123",Overall!$I$2:$I$1000,0)),"")</f>
        <v/>
      </c>
      <c r="C124" s="19" t="str">
        <f aca="false">IFERROR(INDEX(Overall!$F$2:$F$1000,MATCH("RB|123",Overall!$I$2:$I$1000,0)),"")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IF(B125="","",COUNTIFS(Overall!$C$2:$C$1000,"RB",Overall!$F$2:$F$1000,"&gt;"&amp;C125)+1)</f>
        <v/>
      </c>
      <c r="B125" s="11" t="str">
        <f aca="false">IFERROR(INDEX(Overall!$B$2:$B$1000,MATCH("RB|124",Overall!$I$2:$I$1000,0)),"")</f>
        <v/>
      </c>
      <c r="C125" s="19" t="str">
        <f aca="false">IFERROR(INDEX(Overall!$F$2:$F$1000,MATCH("RB|124",Overall!$I$2:$I$1000,0)),"")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IF(B126="","",COUNTIFS(Overall!$C$2:$C$1000,"RB",Overall!$F$2:$F$1000,"&gt;"&amp;C126)+1)</f>
        <v/>
      </c>
      <c r="B126" s="11" t="str">
        <f aca="false">IFERROR(INDEX(Overall!$B$2:$B$1000,MATCH("RB|125",Overall!$I$2:$I$1000,0)),"")</f>
        <v/>
      </c>
      <c r="C126" s="19" t="str">
        <f aca="false">IFERROR(INDEX(Overall!$F$2:$F$1000,MATCH("RB|125",Overall!$I$2:$I$1000,0)),"")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IF(B127="","",COUNTIFS(Overall!$C$2:$C$1000,"RB",Overall!$F$2:$F$1000,"&gt;"&amp;C127)+1)</f>
        <v/>
      </c>
      <c r="B127" s="11" t="str">
        <f aca="false">IFERROR(INDEX(Overall!$B$2:$B$1000,MATCH("RB|126",Overall!$I$2:$I$1000,0)),"")</f>
        <v/>
      </c>
      <c r="C127" s="19" t="str">
        <f aca="false">IFERROR(INDEX(Overall!$F$2:$F$1000,MATCH("RB|126",Overall!$I$2:$I$1000,0)),"")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IF(B128="","",COUNTIFS(Overall!$C$2:$C$1000,"RB",Overall!$F$2:$F$1000,"&gt;"&amp;C128)+1)</f>
        <v/>
      </c>
      <c r="B128" s="11" t="str">
        <f aca="false">IFERROR(INDEX(Overall!$B$2:$B$1000,MATCH("RB|127",Overall!$I$2:$I$1000,0)),"")</f>
        <v/>
      </c>
      <c r="C128" s="19" t="str">
        <f aca="false">IFERROR(INDEX(Overall!$F$2:$F$1000,MATCH("RB|127",Overall!$I$2:$I$1000,0)),"")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IF(B129="","",COUNTIFS(Overall!$C$2:$C$1000,"RB",Overall!$F$2:$F$1000,"&gt;"&amp;C129)+1)</f>
        <v/>
      </c>
      <c r="B129" s="11" t="str">
        <f aca="false">IFERROR(INDEX(Overall!$B$2:$B$1000,MATCH("RB|128",Overall!$I$2:$I$1000,0)),"")</f>
        <v/>
      </c>
      <c r="C129" s="19" t="str">
        <f aca="false">IFERROR(INDEX(Overall!$F$2:$F$1000,MATCH("RB|128",Overall!$I$2:$I$1000,0)),"")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IF(B130="","",COUNTIFS(Overall!$C$2:$C$1000,"RB",Overall!$F$2:$F$1000,"&gt;"&amp;C130)+1)</f>
        <v/>
      </c>
      <c r="B130" s="11" t="str">
        <f aca="false">IFERROR(INDEX(Overall!$B$2:$B$1000,MATCH("RB|129",Overall!$I$2:$I$1000,0)),"")</f>
        <v/>
      </c>
      <c r="C130" s="19" t="str">
        <f aca="false">IFERROR(INDEX(Overall!$F$2:$F$1000,MATCH("RB|129",Overall!$I$2:$I$1000,0)),"")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IF(B131="","",COUNTIFS(Overall!$C$2:$C$1000,"RB",Overall!$F$2:$F$1000,"&gt;"&amp;C131)+1)</f>
        <v/>
      </c>
      <c r="B131" s="11" t="str">
        <f aca="false">IFERROR(INDEX(Overall!$B$2:$B$1000,MATCH("RB|130",Overall!$I$2:$I$1000,0)),"")</f>
        <v/>
      </c>
      <c r="C131" s="19" t="str">
        <f aca="false">IFERROR(INDEX(Overall!$F$2:$F$1000,MATCH("RB|130",Overall!$I$2:$I$1000,0)),"")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IF(B132="","",COUNTIFS(Overall!$C$2:$C$1000,"RB",Overall!$F$2:$F$1000,"&gt;"&amp;C132)+1)</f>
        <v/>
      </c>
      <c r="B132" s="11" t="str">
        <f aca="false">IFERROR(INDEX(Overall!$B$2:$B$1000,MATCH("RB|131",Overall!$I$2:$I$1000,0)),"")</f>
        <v/>
      </c>
      <c r="C132" s="19" t="str">
        <f aca="false">IFERROR(INDEX(Overall!$F$2:$F$1000,MATCH("RB|131",Overall!$I$2:$I$1000,0)),"")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IF(B133="","",COUNTIFS(Overall!$C$2:$C$1000,"RB",Overall!$F$2:$F$1000,"&gt;"&amp;C133)+1)</f>
        <v/>
      </c>
      <c r="B133" s="11" t="str">
        <f aca="false">IFERROR(INDEX(Overall!$B$2:$B$1000,MATCH("RB|132",Overall!$I$2:$I$1000,0)),"")</f>
        <v/>
      </c>
      <c r="C133" s="19" t="str">
        <f aca="false">IFERROR(INDEX(Overall!$F$2:$F$1000,MATCH("RB|132",Overall!$I$2:$I$1000,0)),"")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IF(B134="","",COUNTIFS(Overall!$C$2:$C$1000,"RB",Overall!$F$2:$F$1000,"&gt;"&amp;C134)+1)</f>
        <v/>
      </c>
      <c r="B134" s="11" t="str">
        <f aca="false">IFERROR(INDEX(Overall!$B$2:$B$1000,MATCH("RB|133",Overall!$I$2:$I$1000,0)),"")</f>
        <v/>
      </c>
      <c r="C134" s="19" t="str">
        <f aca="false">IFERROR(INDEX(Overall!$F$2:$F$1000,MATCH("RB|133",Overall!$I$2:$I$1000,0)),"")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IF(B135="","",COUNTIFS(Overall!$C$2:$C$1000,"RB",Overall!$F$2:$F$1000,"&gt;"&amp;C135)+1)</f>
        <v/>
      </c>
      <c r="B135" s="11" t="str">
        <f aca="false">IFERROR(INDEX(Overall!$B$2:$B$1000,MATCH("RB|134",Overall!$I$2:$I$1000,0)),"")</f>
        <v/>
      </c>
      <c r="C135" s="19" t="str">
        <f aca="false">IFERROR(INDEX(Overall!$F$2:$F$1000,MATCH("RB|134",Overall!$I$2:$I$1000,0)),"")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IF(B136="","",COUNTIFS(Overall!$C$2:$C$1000,"RB",Overall!$F$2:$F$1000,"&gt;"&amp;C136)+1)</f>
        <v/>
      </c>
      <c r="B136" s="11" t="str">
        <f aca="false">IFERROR(INDEX(Overall!$B$2:$B$1000,MATCH("RB|135",Overall!$I$2:$I$1000,0)),"")</f>
        <v/>
      </c>
      <c r="C136" s="19" t="str">
        <f aca="false">IFERROR(INDEX(Overall!$F$2:$F$1000,MATCH("RB|135",Overall!$I$2:$I$1000,0)),"")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IF(B137="","",COUNTIFS(Overall!$C$2:$C$1000,"RB",Overall!$F$2:$F$1000,"&gt;"&amp;C137)+1)</f>
        <v/>
      </c>
      <c r="B137" s="11" t="str">
        <f aca="false">IFERROR(INDEX(Overall!$B$2:$B$1000,MATCH("RB|136",Overall!$I$2:$I$1000,0)),"")</f>
        <v/>
      </c>
      <c r="C137" s="19" t="str">
        <f aca="false">IFERROR(INDEX(Overall!$F$2:$F$1000,MATCH("RB|136",Overall!$I$2:$I$1000,0)),"")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IF(B138="","",COUNTIFS(Overall!$C$2:$C$1000,"RB",Overall!$F$2:$F$1000,"&gt;"&amp;C138)+1)</f>
        <v/>
      </c>
      <c r="B138" s="11" t="str">
        <f aca="false">IFERROR(INDEX(Overall!$B$2:$B$1000,MATCH("RB|137",Overall!$I$2:$I$1000,0)),"")</f>
        <v/>
      </c>
      <c r="C138" s="19" t="str">
        <f aca="false">IFERROR(INDEX(Overall!$F$2:$F$1000,MATCH("RB|137",Overall!$I$2:$I$1000,0)),"")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IF(B139="","",COUNTIFS(Overall!$C$2:$C$1000,"RB",Overall!$F$2:$F$1000,"&gt;"&amp;C139)+1)</f>
        <v/>
      </c>
      <c r="B139" s="11" t="str">
        <f aca="false">IFERROR(INDEX(Overall!$B$2:$B$1000,MATCH("RB|138",Overall!$I$2:$I$1000,0)),"")</f>
        <v/>
      </c>
      <c r="C139" s="19" t="str">
        <f aca="false">IFERROR(INDEX(Overall!$F$2:$F$1000,MATCH("RB|138",Overall!$I$2:$I$1000,0)),"")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IF(B140="","",COUNTIFS(Overall!$C$2:$C$1000,"RB",Overall!$F$2:$F$1000,"&gt;"&amp;C140)+1)</f>
        <v/>
      </c>
      <c r="B140" s="11" t="str">
        <f aca="false">IFERROR(INDEX(Overall!$B$2:$B$1000,MATCH("RB|139",Overall!$I$2:$I$1000,0)),"")</f>
        <v/>
      </c>
      <c r="C140" s="19" t="str">
        <f aca="false">IFERROR(INDEX(Overall!$F$2:$F$1000,MATCH("RB|139",Overall!$I$2:$I$1000,0)),"")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IF(B141="","",COUNTIFS(Overall!$C$2:$C$1000,"RB",Overall!$F$2:$F$1000,"&gt;"&amp;C141)+1)</f>
        <v/>
      </c>
      <c r="B141" s="11" t="str">
        <f aca="false">IFERROR(INDEX(Overall!$B$2:$B$1000,MATCH("RB|140",Overall!$I$2:$I$1000,0)),"")</f>
        <v/>
      </c>
      <c r="C141" s="19" t="str">
        <f aca="false">IFERROR(INDEX(Overall!$F$2:$F$1000,MATCH("RB|140",Overall!$I$2:$I$1000,0)),"")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IF(B142="","",COUNTIFS(Overall!$C$2:$C$1000,"RB",Overall!$F$2:$F$1000,"&gt;"&amp;C142)+1)</f>
        <v/>
      </c>
      <c r="B142" s="11" t="str">
        <f aca="false">IFERROR(INDEX(Overall!$B$2:$B$1000,MATCH("RB|141",Overall!$I$2:$I$1000,0)),"")</f>
        <v/>
      </c>
      <c r="C142" s="19" t="str">
        <f aca="false">IFERROR(INDEX(Overall!$F$2:$F$1000,MATCH("RB|141",Overall!$I$2:$I$1000,0)),"")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IF(B143="","",COUNTIFS(Overall!$C$2:$C$1000,"RB",Overall!$F$2:$F$1000,"&gt;"&amp;C143)+1)</f>
        <v/>
      </c>
      <c r="B143" s="11" t="str">
        <f aca="false">IFERROR(INDEX(Overall!$B$2:$B$1000,MATCH("RB|142",Overall!$I$2:$I$1000,0)),"")</f>
        <v/>
      </c>
      <c r="C143" s="19" t="str">
        <f aca="false">IFERROR(INDEX(Overall!$F$2:$F$1000,MATCH("RB|142",Overall!$I$2:$I$1000,0)),"")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IF(B144="","",COUNTIFS(Overall!$C$2:$C$1000,"RB",Overall!$F$2:$F$1000,"&gt;"&amp;C144)+1)</f>
        <v/>
      </c>
      <c r="B144" s="11" t="str">
        <f aca="false">IFERROR(INDEX(Overall!$B$2:$B$1000,MATCH("RB|143",Overall!$I$2:$I$1000,0)),"")</f>
        <v/>
      </c>
      <c r="C144" s="19" t="str">
        <f aca="false">IFERROR(INDEX(Overall!$F$2:$F$1000,MATCH("RB|143",Overall!$I$2:$I$1000,0)),"")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IF(B145="","",COUNTIFS(Overall!$C$2:$C$1000,"RB",Overall!$F$2:$F$1000,"&gt;"&amp;C145)+1)</f>
        <v/>
      </c>
      <c r="B145" s="11" t="str">
        <f aca="false">IFERROR(INDEX(Overall!$B$2:$B$1000,MATCH("RB|144",Overall!$I$2:$I$1000,0)),"")</f>
        <v/>
      </c>
      <c r="C145" s="19" t="str">
        <f aca="false">IFERROR(INDEX(Overall!$F$2:$F$1000,MATCH("RB|144",Overall!$I$2:$I$1000,0)),"")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IF(B146="","",COUNTIFS(Overall!$C$2:$C$1000,"RB",Overall!$F$2:$F$1000,"&gt;"&amp;C146)+1)</f>
        <v/>
      </c>
      <c r="B146" s="11" t="str">
        <f aca="false">IFERROR(INDEX(Overall!$B$2:$B$1000,MATCH("RB|145",Overall!$I$2:$I$1000,0)),"")</f>
        <v/>
      </c>
      <c r="C146" s="19" t="str">
        <f aca="false">IFERROR(INDEX(Overall!$F$2:$F$1000,MATCH("RB|145",Overall!$I$2:$I$1000,0)),"")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IF(B147="","",COUNTIFS(Overall!$C$2:$C$1000,"RB",Overall!$F$2:$F$1000,"&gt;"&amp;C147)+1)</f>
        <v/>
      </c>
      <c r="B147" s="11" t="str">
        <f aca="false">IFERROR(INDEX(Overall!$B$2:$B$1000,MATCH("RB|146",Overall!$I$2:$I$1000,0)),"")</f>
        <v/>
      </c>
      <c r="C147" s="19" t="str">
        <f aca="false">IFERROR(INDEX(Overall!$F$2:$F$1000,MATCH("RB|146",Overall!$I$2:$I$1000,0)),"")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IF(B148="","",COUNTIFS(Overall!$C$2:$C$1000,"RB",Overall!$F$2:$F$1000,"&gt;"&amp;C148)+1)</f>
        <v/>
      </c>
      <c r="B148" s="11" t="str">
        <f aca="false">IFERROR(INDEX(Overall!$B$2:$B$1000,MATCH("RB|147",Overall!$I$2:$I$1000,0)),"")</f>
        <v/>
      </c>
      <c r="C148" s="19" t="str">
        <f aca="false">IFERROR(INDEX(Overall!$F$2:$F$1000,MATCH("RB|147",Overall!$I$2:$I$1000,0)),"")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IF(B149="","",COUNTIFS(Overall!$C$2:$C$1000,"RB",Overall!$F$2:$F$1000,"&gt;"&amp;C149)+1)</f>
        <v/>
      </c>
      <c r="B149" s="11" t="str">
        <f aca="false">IFERROR(INDEX(Overall!$B$2:$B$1000,MATCH("RB|148",Overall!$I$2:$I$1000,0)),"")</f>
        <v/>
      </c>
      <c r="C149" s="19" t="str">
        <f aca="false">IFERROR(INDEX(Overall!$F$2:$F$1000,MATCH("RB|148",Overall!$I$2:$I$1000,0)),"")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IF(B150="","",COUNTIFS(Overall!$C$2:$C$1000,"RB",Overall!$F$2:$F$1000,"&gt;"&amp;C150)+1)</f>
        <v/>
      </c>
      <c r="B150" s="11" t="str">
        <f aca="false">IFERROR(INDEX(Overall!$B$2:$B$1000,MATCH("RB|149",Overall!$I$2:$I$1000,0)),"")</f>
        <v/>
      </c>
      <c r="C150" s="19" t="str">
        <f aca="false">IFERROR(INDEX(Overall!$F$2:$F$1000,MATCH("RB|149",Overall!$I$2:$I$1000,0)),"")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IF(B151="","",COUNTIFS(Overall!$C$2:$C$1000,"RB",Overall!$F$2:$F$1000,"&gt;"&amp;C151)+1)</f>
        <v/>
      </c>
      <c r="B151" s="11" t="str">
        <f aca="false">IFERROR(INDEX(Overall!$B$2:$B$1000,MATCH("RB|150",Overall!$I$2:$I$1000,0)),"")</f>
        <v/>
      </c>
      <c r="C151" s="19" t="str">
        <f aca="false">IFERROR(INDEX(Overall!$F$2:$F$1000,MATCH("RB|150",Overall!$I$2:$I$1000,0)),"")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BDD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IF(B2="","",COUNTIFS(Overall!$C$2:$C$1000,"DMF",Overall!$F$2:$F$1000,"&gt;"&amp;C2)+1)</f>
        <v>1</v>
      </c>
      <c r="B2" s="11" t="str">
        <f aca="false">IFERROR(INDEX(Overall!$B$2:$B$1000,MATCH("DMF|1",Overall!$I$2:$I$1000,0)),"")</f>
        <v>Pietro frisoni</v>
      </c>
      <c r="C2" s="19" t="n">
        <f aca="false">IFERROR(INDEX(Overall!$F$2:$F$1000,MATCH("DMF|1",Overall!$I$2:$I$1000,0)),"")</f>
        <v>98</v>
      </c>
    </row>
    <row r="3" customFormat="false" ht="15" hidden="false" customHeight="false" outlineLevel="0" collapsed="false">
      <c r="A3" s="22" t="n">
        <f aca="false">IF(B3="","",COUNTIFS(Overall!$C$2:$C$1000,"DMF",Overall!$F$2:$F$1000,"&gt;"&amp;C3)+1)</f>
        <v>2</v>
      </c>
      <c r="B3" s="11" t="str">
        <f aca="false">IFERROR(INDEX(Overall!$B$2:$B$1000,MATCH("DMF|2",Overall!$I$2:$I$1000,0)),"")</f>
        <v>Piccolo</v>
      </c>
      <c r="C3" s="19" t="n">
        <f aca="false">IFERROR(INDEX(Overall!$F$2:$F$1000,MATCH("DMF|2",Overall!$I$2:$I$1000,0)),"")</f>
        <v>96</v>
      </c>
    </row>
    <row r="4" customFormat="false" ht="15" hidden="false" customHeight="false" outlineLevel="0" collapsed="false">
      <c r="A4" s="22" t="n">
        <f aca="false">IF(B4="","",COUNTIFS(Overall!$C$2:$C$1000,"DMF",Overall!$F$2:$F$1000,"&gt;"&amp;C4)+1)</f>
        <v>3</v>
      </c>
      <c r="B4" s="11" t="str">
        <f aca="false">IFERROR(INDEX(Overall!$B$2:$B$1000,MATCH("DMF|3",Overall!$I$2:$I$1000,0)),"")</f>
        <v>Cell</v>
      </c>
      <c r="C4" s="19" t="n">
        <f aca="false">IFERROR(INDEX(Overall!$F$2:$F$1000,MATCH("DMF|3",Overall!$I$2:$I$1000,0)),"")</f>
        <v>95</v>
      </c>
    </row>
    <row r="5" customFormat="false" ht="15" hidden="false" customHeight="false" outlineLevel="0" collapsed="false">
      <c r="A5" s="22" t="n">
        <f aca="false">IF(B5="","",COUNTIFS(Overall!$C$2:$C$1000,"DMF",Overall!$F$2:$F$1000,"&gt;"&amp;C5)+1)</f>
        <v>4</v>
      </c>
      <c r="B5" s="11" t="str">
        <f aca="false">IFERROR(INDEX(Overall!$B$2:$B$1000,MATCH("DMF|4",Overall!$I$2:$I$1000,0)),"")</f>
        <v>Qarrad Monkey</v>
      </c>
      <c r="C5" s="19" t="n">
        <f aca="false">IFERROR(INDEX(Overall!$F$2:$F$1000,MATCH("DMF|4",Overall!$I$2:$I$1000,0)),"")</f>
        <v>94</v>
      </c>
    </row>
    <row r="6" customFormat="false" ht="15" hidden="false" customHeight="false" outlineLevel="0" collapsed="false">
      <c r="A6" s="22" t="n">
        <f aca="false">IF(B6="","",COUNTIFS(Overall!$C$2:$C$1000,"DMF",Overall!$F$2:$F$1000,"&gt;"&amp;C6)+1)</f>
        <v>4</v>
      </c>
      <c r="B6" s="11" t="str">
        <f aca="false">IFERROR(INDEX(Overall!$B$2:$B$1000,MATCH("DMF|5",Overall!$I$2:$I$1000,0)),"")</f>
        <v>Hit</v>
      </c>
      <c r="C6" s="19" t="n">
        <f aca="false">IFERROR(INDEX(Overall!$F$2:$F$1000,MATCH("DMF|5",Overall!$I$2:$I$1000,0)),"")</f>
        <v>94</v>
      </c>
    </row>
    <row r="7" customFormat="false" ht="15" hidden="false" customHeight="false" outlineLevel="0" collapsed="false">
      <c r="A7" s="22" t="n">
        <f aca="false">IF(B7="","",COUNTIFS(Overall!$C$2:$C$1000,"DMF",Overall!$F$2:$F$1000,"&gt;"&amp;C7)+1)</f>
        <v>6</v>
      </c>
      <c r="B7" s="11" t="str">
        <f aca="false">IFERROR(INDEX(Overall!$B$2:$B$1000,MATCH("DMF|6",Overall!$I$2:$I$1000,0)),"")</f>
        <v>Geralt of rivia</v>
      </c>
      <c r="C7" s="19" t="n">
        <f aca="false">IFERROR(INDEX(Overall!$F$2:$F$1000,MATCH("DMF|6",Overall!$I$2:$I$1000,0)),"")</f>
        <v>93</v>
      </c>
    </row>
    <row r="8" customFormat="false" ht="15" hidden="false" customHeight="false" outlineLevel="0" collapsed="false">
      <c r="A8" s="22" t="n">
        <f aca="false">IF(B8="","",COUNTIFS(Overall!$C$2:$C$1000,"DMF",Overall!$F$2:$F$1000,"&gt;"&amp;C8)+1)</f>
        <v>7</v>
      </c>
      <c r="B8" s="11" t="str">
        <f aca="false">IFERROR(INDEX(Overall!$B$2:$B$1000,MATCH("DMF|7",Overall!$I$2:$I$1000,0)),"")</f>
        <v>Victorlaszlo</v>
      </c>
      <c r="C8" s="19" t="n">
        <f aca="false">IFERROR(INDEX(Overall!$F$2:$F$1000,MATCH("DMF|7",Overall!$I$2:$I$1000,0)),"")</f>
        <v>92</v>
      </c>
    </row>
    <row r="9" customFormat="false" ht="15" hidden="false" customHeight="false" outlineLevel="0" collapsed="false">
      <c r="A9" s="22" t="n">
        <f aca="false">IF(B9="","",COUNTIFS(Overall!$C$2:$C$1000,"DMF",Overall!$F$2:$F$1000,"&gt;"&amp;C9)+1)</f>
        <v>7</v>
      </c>
      <c r="B9" s="11" t="str">
        <f aca="false">IFERROR(INDEX(Overall!$B$2:$B$1000,MATCH("DMF|8",Overall!$I$2:$I$1000,0)),"")</f>
        <v>De Rossi</v>
      </c>
      <c r="C9" s="19" t="n">
        <f aca="false">IFERROR(INDEX(Overall!$F$2:$F$1000,MATCH("DMF|8",Overall!$I$2:$I$1000,0)),"")</f>
        <v>92</v>
      </c>
    </row>
    <row r="10" customFormat="false" ht="15" hidden="false" customHeight="false" outlineLevel="0" collapsed="false">
      <c r="A10" s="22" t="n">
        <f aca="false">IF(B10="","",COUNTIFS(Overall!$C$2:$C$1000,"DMF",Overall!$F$2:$F$1000,"&gt;"&amp;C10)+1)</f>
        <v>9</v>
      </c>
      <c r="B10" s="11" t="str">
        <f aca="false">IFERROR(INDEX(Overall!$B$2:$B$1000,MATCH("DMF|9",Overall!$I$2:$I$1000,0)),"")</f>
        <v>Matsuyama</v>
      </c>
      <c r="C10" s="19" t="n">
        <f aca="false">IFERROR(INDEX(Overall!$F$2:$F$1000,MATCH("DMF|9",Overall!$I$2:$I$1000,0)),"")</f>
        <v>91</v>
      </c>
    </row>
    <row r="11" customFormat="false" ht="15" hidden="false" customHeight="false" outlineLevel="0" collapsed="false">
      <c r="A11" s="22" t="n">
        <f aca="false">IF(B11="","",COUNTIFS(Overall!$C$2:$C$1000,"DMF",Overall!$F$2:$F$1000,"&gt;"&amp;C11)+1)</f>
        <v>9</v>
      </c>
      <c r="B11" s="11" t="str">
        <f aca="false">IFERROR(INDEX(Overall!$B$2:$B$1000,MATCH("DMF|10",Overall!$I$2:$I$1000,0)),"")</f>
        <v>M. Bison</v>
      </c>
      <c r="C11" s="19" t="n">
        <f aca="false">IFERROR(INDEX(Overall!$F$2:$F$1000,MATCH("DMF|10",Overall!$I$2:$I$1000,0)),"")</f>
        <v>91</v>
      </c>
    </row>
    <row r="12" customFormat="false" ht="15" hidden="false" customHeight="false" outlineLevel="0" collapsed="false">
      <c r="A12" s="22" t="n">
        <f aca="false">IF(B12="","",COUNTIFS(Overall!$C$2:$C$1000,"DMF",Overall!$F$2:$F$1000,"&gt;"&amp;C12)+1)</f>
        <v>11</v>
      </c>
      <c r="B12" s="11" t="str">
        <f aca="false">IFERROR(INDEX(Overall!$B$2:$B$1000,MATCH("DMF|11",Overall!$I$2:$I$1000,0)),"")</f>
        <v>Vking</v>
      </c>
      <c r="C12" s="19" t="n">
        <f aca="false">IFERROR(INDEX(Overall!$F$2:$F$1000,MATCH("DMF|11",Overall!$I$2:$I$1000,0)),"")</f>
        <v>90</v>
      </c>
    </row>
    <row r="13" customFormat="false" ht="15" hidden="false" customHeight="false" outlineLevel="0" collapsed="false">
      <c r="A13" s="22" t="n">
        <f aca="false">IF(B13="","",COUNTIFS(Overall!$C$2:$C$1000,"DMF",Overall!$F$2:$F$1000,"&gt;"&amp;C13)+1)</f>
        <v>11</v>
      </c>
      <c r="B13" s="11" t="str">
        <f aca="false">IFERROR(INDEX(Overall!$B$2:$B$1000,MATCH("DMF|12",Overall!$I$2:$I$1000,0)),"")</f>
        <v>Yoda</v>
      </c>
      <c r="C13" s="19" t="n">
        <f aca="false">IFERROR(INDEX(Overall!$F$2:$F$1000,MATCH("DMF|12",Overall!$I$2:$I$1000,0)),"")</f>
        <v>90</v>
      </c>
    </row>
    <row r="14" customFormat="false" ht="15" hidden="false" customHeight="false" outlineLevel="0" collapsed="false">
      <c r="A14" s="22" t="n">
        <f aca="false">IF(B14="","",COUNTIFS(Overall!$C$2:$C$1000,"DMF",Overall!$F$2:$F$1000,"&gt;"&amp;C14)+1)</f>
        <v>13</v>
      </c>
      <c r="B14" s="11" t="str">
        <f aca="false">IFERROR(INDEX(Overall!$B$2:$B$1000,MATCH("DMF|13",Overall!$I$2:$I$1000,0)),"")</f>
        <v>Rob mcquack</v>
      </c>
      <c r="C14" s="19" t="n">
        <f aca="false">IFERROR(INDEX(Overall!$F$2:$F$1000,MATCH("DMF|13",Overall!$I$2:$I$1000,0)),"")</f>
        <v>88</v>
      </c>
    </row>
    <row r="15" customFormat="false" ht="15" hidden="false" customHeight="false" outlineLevel="0" collapsed="false">
      <c r="A15" s="22" t="n">
        <f aca="false">IF(B15="","",COUNTIFS(Overall!$C$2:$C$1000,"DMF",Overall!$F$2:$F$1000,"&gt;"&amp;C15)+1)</f>
        <v>14</v>
      </c>
      <c r="B15" s="11" t="str">
        <f aca="false">IFERROR(INDEX(Overall!$B$2:$B$1000,MATCH("DMF|14",Overall!$I$2:$I$1000,0)),"")</f>
        <v>Kirito</v>
      </c>
      <c r="C15" s="19" t="n">
        <f aca="false">IFERROR(INDEX(Overall!$F$2:$F$1000,MATCH("DMF|14",Overall!$I$2:$I$1000,0)),"")</f>
        <v>86</v>
      </c>
    </row>
    <row r="16" customFormat="false" ht="15" hidden="false" customHeight="false" outlineLevel="0" collapsed="false">
      <c r="A16" s="22" t="n">
        <f aca="false">IF(B16="","",COUNTIFS(Overall!$C$2:$C$1000,"DMF",Overall!$F$2:$F$1000,"&gt;"&amp;C16)+1)</f>
        <v>14</v>
      </c>
      <c r="B16" s="11" t="str">
        <f aca="false">IFERROR(INDEX(Overall!$B$2:$B$1000,MATCH("DMF|15",Overall!$I$2:$I$1000,0)),"")</f>
        <v>Deathstroke</v>
      </c>
      <c r="C16" s="19" t="n">
        <f aca="false">IFERROR(INDEX(Overall!$F$2:$F$1000,MATCH("DMF|15",Overall!$I$2:$I$1000,0)),"")</f>
        <v>86</v>
      </c>
    </row>
    <row r="17" customFormat="false" ht="15" hidden="false" customHeight="false" outlineLevel="0" collapsed="false">
      <c r="A17" s="22" t="n">
        <f aca="false">IF(B17="","",COUNTIFS(Overall!$C$2:$C$1000,"DMF",Overall!$F$2:$F$1000,"&gt;"&amp;C17)+1)</f>
        <v>16</v>
      </c>
      <c r="B17" s="11" t="str">
        <f aca="false">IFERROR(INDEX(Overall!$B$2:$B$1000,MATCH("DMF|16",Overall!$I$2:$I$1000,0)),"")</f>
        <v>Marco</v>
      </c>
      <c r="C17" s="19" t="n">
        <f aca="false">IFERROR(INDEX(Overall!$F$2:$F$1000,MATCH("DMF|16",Overall!$I$2:$I$1000,0)),"")</f>
        <v>85</v>
      </c>
    </row>
    <row r="18" customFormat="false" ht="15" hidden="false" customHeight="false" outlineLevel="0" collapsed="false">
      <c r="A18" s="22" t="n">
        <f aca="false">IF(B18="","",COUNTIFS(Overall!$C$2:$C$1000,"DMF",Overall!$F$2:$F$1000,"&gt;"&amp;C18)+1)</f>
        <v>16</v>
      </c>
      <c r="B18" s="11" t="str">
        <f aca="false">IFERROR(INDEX(Overall!$B$2:$B$1000,MATCH("DMF|17",Overall!$I$2:$I$1000,0)),"")</f>
        <v>Apu</v>
      </c>
      <c r="C18" s="19" t="n">
        <f aca="false">IFERROR(INDEX(Overall!$F$2:$F$1000,MATCH("DMF|17",Overall!$I$2:$I$1000,0)),"")</f>
        <v>85</v>
      </c>
    </row>
    <row r="19" customFormat="false" ht="15" hidden="false" customHeight="false" outlineLevel="0" collapsed="false">
      <c r="A19" s="22" t="n">
        <f aca="false">IF(B19="","",COUNTIFS(Overall!$C$2:$C$1000,"DMF",Overall!$F$2:$F$1000,"&gt;"&amp;C19)+1)</f>
        <v>18</v>
      </c>
      <c r="B19" s="11" t="str">
        <f aca="false">IFERROR(INDEX(Overall!$B$2:$B$1000,MATCH("DMF|18",Overall!$I$2:$I$1000,0)),"")</f>
        <v>Best jeanist</v>
      </c>
      <c r="C19" s="19" t="n">
        <f aca="false">IFERROR(INDEX(Overall!$F$2:$F$1000,MATCH("DMF|18",Overall!$I$2:$I$1000,0)),"")</f>
        <v>84</v>
      </c>
    </row>
    <row r="20" customFormat="false" ht="15" hidden="false" customHeight="false" outlineLevel="0" collapsed="false">
      <c r="A20" s="22" t="n">
        <f aca="false">IF(B20="","",COUNTIFS(Overall!$C$2:$C$1000,"DMF",Overall!$F$2:$F$1000,"&gt;"&amp;C20)+1)</f>
        <v>18</v>
      </c>
      <c r="B20" s="11" t="str">
        <f aca="false">IFERROR(INDEX(Overall!$B$2:$B$1000,MATCH("DMF|19",Overall!$I$2:$I$1000,0)),"")</f>
        <v>Pumba</v>
      </c>
      <c r="C20" s="19" t="n">
        <f aca="false">IFERROR(INDEX(Overall!$F$2:$F$1000,MATCH("DMF|19",Overall!$I$2:$I$1000,0)),"")</f>
        <v>84</v>
      </c>
    </row>
    <row r="21" customFormat="false" ht="15" hidden="false" customHeight="false" outlineLevel="0" collapsed="false">
      <c r="A21" s="22" t="n">
        <f aca="false">IF(B21="","",COUNTIFS(Overall!$C$2:$C$1000,"DMF",Overall!$F$2:$F$1000,"&gt;"&amp;C21)+1)</f>
        <v>18</v>
      </c>
      <c r="B21" s="11" t="str">
        <f aca="false">IFERROR(INDEX(Overall!$B$2:$B$1000,MATCH("DMF|20",Overall!$I$2:$I$1000,0)),"")</f>
        <v>Magneto</v>
      </c>
      <c r="C21" s="19" t="n">
        <f aca="false">IFERROR(INDEX(Overall!$F$2:$F$1000,MATCH("DMF|20",Overall!$I$2:$I$1000,0)),"")</f>
        <v>84</v>
      </c>
    </row>
    <row r="22" customFormat="false" ht="15" hidden="false" customHeight="false" outlineLevel="0" collapsed="false">
      <c r="A22" s="22" t="n">
        <f aca="false">IF(B22="","",COUNTIFS(Overall!$C$2:$C$1000,"DMF",Overall!$F$2:$F$1000,"&gt;"&amp;C22)+1)</f>
        <v>18</v>
      </c>
      <c r="B22" s="11" t="str">
        <f aca="false">IFERROR(INDEX(Overall!$B$2:$B$1000,MATCH("DMF|21",Overall!$I$2:$I$1000,0)),"")</f>
        <v>Knuckles</v>
      </c>
      <c r="C22" s="19" t="n">
        <f aca="false">IFERROR(INDEX(Overall!$F$2:$F$1000,MATCH("DMF|21",Overall!$I$2:$I$1000,0)),"")</f>
        <v>84</v>
      </c>
    </row>
    <row r="23" customFormat="false" ht="15" hidden="false" customHeight="false" outlineLevel="0" collapsed="false">
      <c r="A23" s="22" t="n">
        <f aca="false">IF(B23="","",COUNTIFS(Overall!$C$2:$C$1000,"DMF",Overall!$F$2:$F$1000,"&gt;"&amp;C23)+1)</f>
        <v>22</v>
      </c>
      <c r="B23" s="11" t="str">
        <f aca="false">IFERROR(INDEX(Overall!$B$2:$B$1000,MATCH("DMF|22",Overall!$I$2:$I$1000,0)),"")</f>
        <v>Leone Abbacchio</v>
      </c>
      <c r="C23" s="19" t="n">
        <f aca="false">IFERROR(INDEX(Overall!$F$2:$F$1000,MATCH("DMF|22",Overall!$I$2:$I$1000,0)),"")</f>
        <v>83</v>
      </c>
    </row>
    <row r="24" customFormat="false" ht="15" hidden="false" customHeight="false" outlineLevel="0" collapsed="false">
      <c r="A24" s="22" t="n">
        <f aca="false">IF(B24="","",COUNTIFS(Overall!$C$2:$C$1000,"DMF",Overall!$F$2:$F$1000,"&gt;"&amp;C24)+1)</f>
        <v>22</v>
      </c>
      <c r="B24" s="11" t="str">
        <f aca="false">IFERROR(INDEX(Overall!$B$2:$B$1000,MATCH("DMF|23",Overall!$I$2:$I$1000,0)),"")</f>
        <v>Chazz princeton</v>
      </c>
      <c r="C24" s="19" t="n">
        <f aca="false">IFERROR(INDEX(Overall!$F$2:$F$1000,MATCH("DMF|23",Overall!$I$2:$I$1000,0)),"")</f>
        <v>83</v>
      </c>
    </row>
    <row r="25" customFormat="false" ht="15" hidden="false" customHeight="false" outlineLevel="0" collapsed="false">
      <c r="A25" s="22" t="n">
        <f aca="false">IF(B25="","",COUNTIFS(Overall!$C$2:$C$1000,"DMF",Overall!$F$2:$F$1000,"&gt;"&amp;C25)+1)</f>
        <v>24</v>
      </c>
      <c r="B25" s="11" t="str">
        <f aca="false">IFERROR(INDEX(Overall!$B$2:$B$1000,MATCH("DMF|24",Overall!$I$2:$I$1000,0)),"")</f>
        <v>Shelly</v>
      </c>
      <c r="C25" s="19" t="n">
        <f aca="false">IFERROR(INDEX(Overall!$F$2:$F$1000,MATCH("DMF|24",Overall!$I$2:$I$1000,0)),"")</f>
        <v>82</v>
      </c>
    </row>
    <row r="26" customFormat="false" ht="15" hidden="false" customHeight="false" outlineLevel="0" collapsed="false">
      <c r="A26" s="22" t="n">
        <f aca="false">IF(B26="","",COUNTIFS(Overall!$C$2:$C$1000,"DMF",Overall!$F$2:$F$1000,"&gt;"&amp;C26)+1)</f>
        <v>24</v>
      </c>
      <c r="B26" s="11" t="str">
        <f aca="false">IFERROR(INDEX(Overall!$B$2:$B$1000,MATCH("DMF|25",Overall!$I$2:$I$1000,0)),"")</f>
        <v>Taz</v>
      </c>
      <c r="C26" s="19" t="n">
        <f aca="false">IFERROR(INDEX(Overall!$F$2:$F$1000,MATCH("DMF|25",Overall!$I$2:$I$1000,0)),"")</f>
        <v>82</v>
      </c>
    </row>
    <row r="27" customFormat="false" ht="15" hidden="false" customHeight="false" outlineLevel="0" collapsed="false">
      <c r="A27" s="22" t="n">
        <f aca="false">IF(B27="","",COUNTIFS(Overall!$C$2:$C$1000,"DMF",Overall!$F$2:$F$1000,"&gt;"&amp;C27)+1)</f>
        <v>24</v>
      </c>
      <c r="B27" s="11" t="str">
        <f aca="false">IFERROR(INDEX(Overall!$B$2:$B$1000,MATCH("DMF|26",Overall!$I$2:$I$1000,0)),"")</f>
        <v>Jay Z</v>
      </c>
      <c r="C27" s="19" t="n">
        <f aca="false">IFERROR(INDEX(Overall!$F$2:$F$1000,MATCH("DMF|26",Overall!$I$2:$I$1000,0)),"")</f>
        <v>82</v>
      </c>
    </row>
    <row r="28" customFormat="false" ht="15" hidden="false" customHeight="false" outlineLevel="0" collapsed="false">
      <c r="A28" s="22" t="n">
        <f aca="false">IF(B28="","",COUNTIFS(Overall!$C$2:$C$1000,"DMF",Overall!$F$2:$F$1000,"&gt;"&amp;C28)+1)</f>
        <v>27</v>
      </c>
      <c r="B28" s="11" t="str">
        <f aca="false">IFERROR(INDEX(Overall!$B$2:$B$1000,MATCH("DMF|27",Overall!$I$2:$I$1000,0)),"")</f>
        <v>Buttercup</v>
      </c>
      <c r="C28" s="19" t="n">
        <f aca="false">IFERROR(INDEX(Overall!$F$2:$F$1000,MATCH("DMF|27",Overall!$I$2:$I$1000,0)),"")</f>
        <v>81</v>
      </c>
    </row>
    <row r="29" customFormat="false" ht="15" hidden="false" customHeight="false" outlineLevel="0" collapsed="false">
      <c r="A29" s="22" t="n">
        <f aca="false">IF(B29="","",COUNTIFS(Overall!$C$2:$C$1000,"DMF",Overall!$F$2:$F$1000,"&gt;"&amp;C29)+1)</f>
        <v>27</v>
      </c>
      <c r="B29" s="11" t="str">
        <f aca="false">IFERROR(INDEX(Overall!$B$2:$B$1000,MATCH("DMF|28",Overall!$I$2:$I$1000,0)),"")</f>
        <v>Great ape</v>
      </c>
      <c r="C29" s="19" t="n">
        <f aca="false">IFERROR(INDEX(Overall!$F$2:$F$1000,MATCH("DMF|28",Overall!$I$2:$I$1000,0)),"")</f>
        <v>81</v>
      </c>
    </row>
    <row r="30" customFormat="false" ht="15" hidden="false" customHeight="false" outlineLevel="0" collapsed="false">
      <c r="A30" s="22" t="n">
        <f aca="false">IF(B30="","",COUNTIFS(Overall!$C$2:$C$1000,"DMF",Overall!$F$2:$F$1000,"&gt;"&amp;C30)+1)</f>
        <v>29</v>
      </c>
      <c r="B30" s="11" t="str">
        <f aca="false">IFERROR(INDEX(Overall!$B$2:$B$1000,MATCH("DMF|29",Overall!$I$2:$I$1000,0)),"")</f>
        <v>Link</v>
      </c>
      <c r="C30" s="19" t="n">
        <f aca="false">IFERROR(INDEX(Overall!$F$2:$F$1000,MATCH("DMF|29",Overall!$I$2:$I$1000,0)),"")</f>
        <v>80</v>
      </c>
    </row>
    <row r="31" customFormat="false" ht="15" hidden="false" customHeight="false" outlineLevel="0" collapsed="false">
      <c r="A31" s="22" t="n">
        <f aca="false">IF(B31="","",COUNTIFS(Overall!$C$2:$C$1000,"DMF",Overall!$F$2:$F$1000,"&gt;"&amp;C31)+1)</f>
        <v>29</v>
      </c>
      <c r="B31" s="11" t="str">
        <f aca="false">IFERROR(INDEX(Overall!$B$2:$B$1000,MATCH("DMF|30",Overall!$I$2:$I$1000,0)),"")</f>
        <v>Doom guy</v>
      </c>
      <c r="C31" s="19" t="n">
        <f aca="false">IFERROR(INDEX(Overall!$F$2:$F$1000,MATCH("DMF|30",Overall!$I$2:$I$1000,0)),"")</f>
        <v>80</v>
      </c>
    </row>
    <row r="32" customFormat="false" ht="15" hidden="false" customHeight="false" outlineLevel="0" collapsed="false">
      <c r="A32" s="22" t="n">
        <f aca="false">IF(B32="","",COUNTIFS(Overall!$C$2:$C$1000,"DMF",Overall!$F$2:$F$1000,"&gt;"&amp;C32)+1)</f>
        <v>31</v>
      </c>
      <c r="B32" s="11" t="str">
        <f aca="false">IFERROR(INDEX(Overall!$B$2:$B$1000,MATCH("DMF|31",Overall!$I$2:$I$1000,0)),"")</f>
        <v>Sabaku</v>
      </c>
      <c r="C32" s="19" t="n">
        <f aca="false">IFERROR(INDEX(Overall!$F$2:$F$1000,MATCH("DMF|31",Overall!$I$2:$I$1000,0)),"")</f>
        <v>79</v>
      </c>
    </row>
    <row r="33" customFormat="false" ht="15" hidden="false" customHeight="false" outlineLevel="0" collapsed="false">
      <c r="A33" s="22" t="n">
        <f aca="false">IF(B33="","",COUNTIFS(Overall!$C$2:$C$1000,"DMF",Overall!$F$2:$F$1000,"&gt;"&amp;C33)+1)</f>
        <v>31</v>
      </c>
      <c r="B33" s="11" t="str">
        <f aca="false">IFERROR(INDEX(Overall!$B$2:$B$1000,MATCH("DMF|32",Overall!$I$2:$I$1000,0)),"")</f>
        <v>monster girl</v>
      </c>
      <c r="C33" s="19" t="n">
        <f aca="false">IFERROR(INDEX(Overall!$F$2:$F$1000,MATCH("DMF|32",Overall!$I$2:$I$1000,0)),"")</f>
        <v>79</v>
      </c>
    </row>
    <row r="34" customFormat="false" ht="15" hidden="false" customHeight="false" outlineLevel="0" collapsed="false">
      <c r="A34" s="22" t="n">
        <f aca="false">IF(B34="","",COUNTIFS(Overall!$C$2:$C$1000,"DMF",Overall!$F$2:$F$1000,"&gt;"&amp;C34)+1)</f>
        <v>31</v>
      </c>
      <c r="B34" s="11" t="str">
        <f aca="false">IFERROR(INDEX(Overall!$B$2:$B$1000,MATCH("DMF|33",Overall!$I$2:$I$1000,0)),"")</f>
        <v>Ferb</v>
      </c>
      <c r="C34" s="19" t="n">
        <f aca="false">IFERROR(INDEX(Overall!$F$2:$F$1000,MATCH("DMF|33",Overall!$I$2:$I$1000,0)),"")</f>
        <v>79</v>
      </c>
    </row>
    <row r="35" customFormat="false" ht="15" hidden="false" customHeight="false" outlineLevel="0" collapsed="false">
      <c r="A35" s="22" t="n">
        <f aca="false">IF(B35="","",COUNTIFS(Overall!$C$2:$C$1000,"DMF",Overall!$F$2:$F$1000,"&gt;"&amp;C35)+1)</f>
        <v>34</v>
      </c>
      <c r="B35" s="11" t="str">
        <f aca="false">IFERROR(INDEX(Overall!$B$2:$B$1000,MATCH("DMF|34",Overall!$I$2:$I$1000,0)),"")</f>
        <v>Rosalina</v>
      </c>
      <c r="C35" s="19" t="n">
        <f aca="false">IFERROR(INDEX(Overall!$F$2:$F$1000,MATCH("DMF|34",Overall!$I$2:$I$1000,0)),"")</f>
        <v>77</v>
      </c>
    </row>
    <row r="36" customFormat="false" ht="15" hidden="false" customHeight="false" outlineLevel="0" collapsed="false">
      <c r="A36" s="22" t="n">
        <f aca="false">IF(B36="","",COUNTIFS(Overall!$C$2:$C$1000,"DMF",Overall!$F$2:$F$1000,"&gt;"&amp;C36)+1)</f>
        <v>34</v>
      </c>
      <c r="B36" s="11" t="str">
        <f aca="false">IFERROR(INDEX(Overall!$B$2:$B$1000,MATCH("DMF|35",Overall!$I$2:$I$1000,0)),"")</f>
        <v>Lex Luthor</v>
      </c>
      <c r="C36" s="19" t="n">
        <f aca="false">IFERROR(INDEX(Overall!$F$2:$F$1000,MATCH("DMF|35",Overall!$I$2:$I$1000,0)),"")</f>
        <v>77</v>
      </c>
    </row>
    <row r="37" customFormat="false" ht="15" hidden="false" customHeight="false" outlineLevel="0" collapsed="false">
      <c r="A37" s="22" t="n">
        <f aca="false">IF(B37="","",COUNTIFS(Overall!$C$2:$C$1000,"DMF",Overall!$F$2:$F$1000,"&gt;"&amp;C37)+1)</f>
        <v>36</v>
      </c>
      <c r="B37" s="11" t="str">
        <f aca="false">IFERROR(INDEX(Overall!$B$2:$B$1000,MATCH("DMF|36",Overall!$I$2:$I$1000,0)),"")</f>
        <v>Zelda</v>
      </c>
      <c r="C37" s="19" t="n">
        <f aca="false">IFERROR(INDEX(Overall!$F$2:$F$1000,MATCH("DMF|36",Overall!$I$2:$I$1000,0)),"")</f>
        <v>76</v>
      </c>
    </row>
    <row r="38" customFormat="false" ht="15" hidden="false" customHeight="false" outlineLevel="0" collapsed="false">
      <c r="A38" s="22" t="n">
        <f aca="false">IF(B38="","",COUNTIFS(Overall!$C$2:$C$1000,"DMF",Overall!$F$2:$F$1000,"&gt;"&amp;C38)+1)</f>
        <v>37</v>
      </c>
      <c r="B38" s="11" t="str">
        <f aca="false">IFERROR(INDEX(Overall!$B$2:$B$1000,MATCH("DMF|37",Overall!$I$2:$I$1000,0)),"")</f>
        <v>Scott Vanian</v>
      </c>
      <c r="C38" s="19" t="n">
        <f aca="false">IFERROR(INDEX(Overall!$F$2:$F$1000,MATCH("DMF|37",Overall!$I$2:$I$1000,0)),"")</f>
        <v>75</v>
      </c>
    </row>
    <row r="39" customFormat="false" ht="15" hidden="false" customHeight="false" outlineLevel="0" collapsed="false">
      <c r="A39" s="22" t="n">
        <f aca="false">IF(B39="","",COUNTIFS(Overall!$C$2:$C$1000,"DMF",Overall!$F$2:$F$1000,"&gt;"&amp;C39)+1)</f>
        <v>38</v>
      </c>
      <c r="B39" s="11" t="str">
        <f aca="false">IFERROR(INDEX(Overall!$B$2:$B$1000,MATCH("DMF|38",Overall!$I$2:$I$1000,0)),"")</f>
        <v>Napoleon</v>
      </c>
      <c r="C39" s="19" t="n">
        <f aca="false">IFERROR(INDEX(Overall!$F$2:$F$1000,MATCH("DMF|38",Overall!$I$2:$I$1000,0)),"")</f>
        <v>73</v>
      </c>
    </row>
    <row r="40" customFormat="false" ht="15" hidden="false" customHeight="false" outlineLevel="0" collapsed="false">
      <c r="A40" s="22" t="str">
        <f aca="false">IF(B40="","",COUNTIFS(Overall!$C$2:$C$1000,"DMF",Overall!$F$2:$F$1000,"&gt;"&amp;C40)+1)</f>
        <v/>
      </c>
      <c r="B40" s="11" t="str">
        <f aca="false">IFERROR(INDEX(Overall!$B$2:$B$1000,MATCH("DMF|39",Overall!$I$2:$I$1000,0)),"")</f>
        <v/>
      </c>
      <c r="C40" s="19" t="str">
        <f aca="false">IFERROR(INDEX(Overall!$F$2:$F$1000,MATCH("DMF|39",Overall!$I$2:$I$1000,0)),"")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IF(B41="","",COUNTIFS(Overall!$C$2:$C$1000,"DMF",Overall!$F$2:$F$1000,"&gt;"&amp;C41)+1)</f>
        <v/>
      </c>
      <c r="B41" s="11" t="str">
        <f aca="false">IFERROR(INDEX(Overall!$B$2:$B$1000,MATCH("DMF|40",Overall!$I$2:$I$1000,0)),"")</f>
        <v/>
      </c>
      <c r="C41" s="19" t="str">
        <f aca="false">IFERROR(INDEX(Overall!$F$2:$F$1000,MATCH("DMF|40",Overall!$I$2:$I$1000,0)),"")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IF(B42="","",COUNTIFS(Overall!$C$2:$C$1000,"DMF",Overall!$F$2:$F$1000,"&gt;"&amp;C42)+1)</f>
        <v/>
      </c>
      <c r="B42" s="11" t="str">
        <f aca="false">IFERROR(INDEX(Overall!$B$2:$B$1000,MATCH("DMF|41",Overall!$I$2:$I$1000,0)),"")</f>
        <v/>
      </c>
      <c r="C42" s="19" t="str">
        <f aca="false">IFERROR(INDEX(Overall!$F$2:$F$1000,MATCH("DMF|41",Overall!$I$2:$I$1000,0)),"")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IF(B43="","",COUNTIFS(Overall!$C$2:$C$1000,"DMF",Overall!$F$2:$F$1000,"&gt;"&amp;C43)+1)</f>
        <v/>
      </c>
      <c r="B43" s="11" t="str">
        <f aca="false">IFERROR(INDEX(Overall!$B$2:$B$1000,MATCH("DMF|42",Overall!$I$2:$I$1000,0)),"")</f>
        <v/>
      </c>
      <c r="C43" s="19" t="str">
        <f aca="false">IFERROR(INDEX(Overall!$F$2:$F$1000,MATCH("DMF|42",Overall!$I$2:$I$1000,0)),"")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IF(B44="","",COUNTIFS(Overall!$C$2:$C$1000,"DMF",Overall!$F$2:$F$1000,"&gt;"&amp;C44)+1)</f>
        <v/>
      </c>
      <c r="B44" s="11" t="str">
        <f aca="false">IFERROR(INDEX(Overall!$B$2:$B$1000,MATCH("DMF|43",Overall!$I$2:$I$1000,0)),"")</f>
        <v/>
      </c>
      <c r="C44" s="19" t="str">
        <f aca="false">IFERROR(INDEX(Overall!$F$2:$F$1000,MATCH("DMF|43",Overall!$I$2:$I$1000,0)),"")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IF(B45="","",COUNTIFS(Overall!$C$2:$C$1000,"DMF",Overall!$F$2:$F$1000,"&gt;"&amp;C45)+1)</f>
        <v/>
      </c>
      <c r="B45" s="11" t="str">
        <f aca="false">IFERROR(INDEX(Overall!$B$2:$B$1000,MATCH("DMF|44",Overall!$I$2:$I$1000,0)),"")</f>
        <v/>
      </c>
      <c r="C45" s="19" t="str">
        <f aca="false">IFERROR(INDEX(Overall!$F$2:$F$1000,MATCH("DMF|44",Overall!$I$2:$I$1000,0)),"")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IF(B46="","",COUNTIFS(Overall!$C$2:$C$1000,"DMF",Overall!$F$2:$F$1000,"&gt;"&amp;C46)+1)</f>
        <v/>
      </c>
      <c r="B46" s="11" t="str">
        <f aca="false">IFERROR(INDEX(Overall!$B$2:$B$1000,MATCH("DMF|45",Overall!$I$2:$I$1000,0)),"")</f>
        <v/>
      </c>
      <c r="C46" s="19" t="str">
        <f aca="false">IFERROR(INDEX(Overall!$F$2:$F$1000,MATCH("DMF|45",Overall!$I$2:$I$1000,0)),"")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IF(B47="","",COUNTIFS(Overall!$C$2:$C$1000,"DMF",Overall!$F$2:$F$1000,"&gt;"&amp;C47)+1)</f>
        <v/>
      </c>
      <c r="B47" s="11" t="str">
        <f aca="false">IFERROR(INDEX(Overall!$B$2:$B$1000,MATCH("DMF|46",Overall!$I$2:$I$1000,0)),"")</f>
        <v/>
      </c>
      <c r="C47" s="19" t="str">
        <f aca="false">IFERROR(INDEX(Overall!$F$2:$F$1000,MATCH("DMF|46",Overall!$I$2:$I$1000,0)),"")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IF(B48="","",COUNTIFS(Overall!$C$2:$C$1000,"DMF",Overall!$F$2:$F$1000,"&gt;"&amp;C48)+1)</f>
        <v/>
      </c>
      <c r="B48" s="11" t="str">
        <f aca="false">IFERROR(INDEX(Overall!$B$2:$B$1000,MATCH("DMF|47",Overall!$I$2:$I$1000,0)),"")</f>
        <v/>
      </c>
      <c r="C48" s="19" t="str">
        <f aca="false">IFERROR(INDEX(Overall!$F$2:$F$1000,MATCH("DMF|47",Overall!$I$2:$I$1000,0)),"")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IF(B49="","",COUNTIFS(Overall!$C$2:$C$1000,"DMF",Overall!$F$2:$F$1000,"&gt;"&amp;C49)+1)</f>
        <v/>
      </c>
      <c r="B49" s="11" t="str">
        <f aca="false">IFERROR(INDEX(Overall!$B$2:$B$1000,MATCH("DMF|48",Overall!$I$2:$I$1000,0)),"")</f>
        <v/>
      </c>
      <c r="C49" s="19" t="str">
        <f aca="false">IFERROR(INDEX(Overall!$F$2:$F$1000,MATCH("DMF|48",Overall!$I$2:$I$1000,0)),"")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IF(B50="","",COUNTIFS(Overall!$C$2:$C$1000,"DMF",Overall!$F$2:$F$1000,"&gt;"&amp;C50)+1)</f>
        <v/>
      </c>
      <c r="B50" s="11" t="str">
        <f aca="false">IFERROR(INDEX(Overall!$B$2:$B$1000,MATCH("DMF|49",Overall!$I$2:$I$1000,0)),"")</f>
        <v/>
      </c>
      <c r="C50" s="19" t="str">
        <f aca="false">IFERROR(INDEX(Overall!$F$2:$F$1000,MATCH("DMF|49",Overall!$I$2:$I$1000,0)),"")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IF(B51="","",COUNTIFS(Overall!$C$2:$C$1000,"DMF",Overall!$F$2:$F$1000,"&gt;"&amp;C51)+1)</f>
        <v/>
      </c>
      <c r="B51" s="11" t="str">
        <f aca="false">IFERROR(INDEX(Overall!$B$2:$B$1000,MATCH("DMF|50",Overall!$I$2:$I$1000,0)),"")</f>
        <v/>
      </c>
      <c r="C51" s="19" t="str">
        <f aca="false">IFERROR(INDEX(Overall!$F$2:$F$1000,MATCH("DMF|50",Overall!$I$2:$I$1000,0)),"")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IF(B52="","",COUNTIFS(Overall!$C$2:$C$1000,"DMF",Overall!$F$2:$F$1000,"&gt;"&amp;C52)+1)</f>
        <v/>
      </c>
      <c r="B52" s="11" t="str">
        <f aca="false">IFERROR(INDEX(Overall!$B$2:$B$1000,MATCH("DMF|51",Overall!$I$2:$I$1000,0)),"")</f>
        <v/>
      </c>
      <c r="C52" s="19" t="str">
        <f aca="false">IFERROR(INDEX(Overall!$F$2:$F$1000,MATCH("DMF|51",Overall!$I$2:$I$1000,0)),"")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IF(B53="","",COUNTIFS(Overall!$C$2:$C$1000,"DMF",Overall!$F$2:$F$1000,"&gt;"&amp;C53)+1)</f>
        <v/>
      </c>
      <c r="B53" s="11" t="str">
        <f aca="false">IFERROR(INDEX(Overall!$B$2:$B$1000,MATCH("DMF|52",Overall!$I$2:$I$1000,0)),"")</f>
        <v/>
      </c>
      <c r="C53" s="19" t="str">
        <f aca="false">IFERROR(INDEX(Overall!$F$2:$F$1000,MATCH("DMF|52",Overall!$I$2:$I$1000,0)),"")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IF(B54="","",COUNTIFS(Overall!$C$2:$C$1000,"DMF",Overall!$F$2:$F$1000,"&gt;"&amp;C54)+1)</f>
        <v/>
      </c>
      <c r="B54" s="11" t="str">
        <f aca="false">IFERROR(INDEX(Overall!$B$2:$B$1000,MATCH("DMF|53",Overall!$I$2:$I$1000,0)),"")</f>
        <v/>
      </c>
      <c r="C54" s="19" t="str">
        <f aca="false">IFERROR(INDEX(Overall!$F$2:$F$1000,MATCH("DMF|53",Overall!$I$2:$I$1000,0)),"")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IF(B55="","",COUNTIFS(Overall!$C$2:$C$1000,"DMF",Overall!$F$2:$F$1000,"&gt;"&amp;C55)+1)</f>
        <v/>
      </c>
      <c r="B55" s="11" t="str">
        <f aca="false">IFERROR(INDEX(Overall!$B$2:$B$1000,MATCH("DMF|54",Overall!$I$2:$I$1000,0)),"")</f>
        <v/>
      </c>
      <c r="C55" s="19" t="str">
        <f aca="false">IFERROR(INDEX(Overall!$F$2:$F$1000,MATCH("DMF|54",Overall!$I$2:$I$1000,0)),"")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IF(B56="","",COUNTIFS(Overall!$C$2:$C$1000,"DMF",Overall!$F$2:$F$1000,"&gt;"&amp;C56)+1)</f>
        <v/>
      </c>
      <c r="B56" s="11" t="str">
        <f aca="false">IFERROR(INDEX(Overall!$B$2:$B$1000,MATCH("DMF|55",Overall!$I$2:$I$1000,0)),"")</f>
        <v/>
      </c>
      <c r="C56" s="19" t="str">
        <f aca="false">IFERROR(INDEX(Overall!$F$2:$F$1000,MATCH("DMF|55",Overall!$I$2:$I$1000,0)),"")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IF(B57="","",COUNTIFS(Overall!$C$2:$C$1000,"DMF",Overall!$F$2:$F$1000,"&gt;"&amp;C57)+1)</f>
        <v/>
      </c>
      <c r="B57" s="11" t="str">
        <f aca="false">IFERROR(INDEX(Overall!$B$2:$B$1000,MATCH("DMF|56",Overall!$I$2:$I$1000,0)),"")</f>
        <v/>
      </c>
      <c r="C57" s="19" t="str">
        <f aca="false">IFERROR(INDEX(Overall!$F$2:$F$1000,MATCH("DMF|56",Overall!$I$2:$I$1000,0)),"")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IF(B58="","",COUNTIFS(Overall!$C$2:$C$1000,"DMF",Overall!$F$2:$F$1000,"&gt;"&amp;C58)+1)</f>
        <v/>
      </c>
      <c r="B58" s="11" t="str">
        <f aca="false">IFERROR(INDEX(Overall!$B$2:$B$1000,MATCH("DMF|57",Overall!$I$2:$I$1000,0)),"")</f>
        <v/>
      </c>
      <c r="C58" s="19" t="str">
        <f aca="false">IFERROR(INDEX(Overall!$F$2:$F$1000,MATCH("DMF|57",Overall!$I$2:$I$1000,0)),"")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IF(B59="","",COUNTIFS(Overall!$C$2:$C$1000,"DMF",Overall!$F$2:$F$1000,"&gt;"&amp;C59)+1)</f>
        <v/>
      </c>
      <c r="B59" s="11" t="str">
        <f aca="false">IFERROR(INDEX(Overall!$B$2:$B$1000,MATCH("DMF|58",Overall!$I$2:$I$1000,0)),"")</f>
        <v/>
      </c>
      <c r="C59" s="19" t="str">
        <f aca="false">IFERROR(INDEX(Overall!$F$2:$F$1000,MATCH("DMF|58",Overall!$I$2:$I$1000,0)),"")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IF(B60="","",COUNTIFS(Overall!$C$2:$C$1000,"DMF",Overall!$F$2:$F$1000,"&gt;"&amp;C60)+1)</f>
        <v/>
      </c>
      <c r="B60" s="11" t="str">
        <f aca="false">IFERROR(INDEX(Overall!$B$2:$B$1000,MATCH("DMF|59",Overall!$I$2:$I$1000,0)),"")</f>
        <v/>
      </c>
      <c r="C60" s="19" t="str">
        <f aca="false">IFERROR(INDEX(Overall!$F$2:$F$1000,MATCH("DMF|59",Overall!$I$2:$I$1000,0)),"")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IF(B61="","",COUNTIFS(Overall!$C$2:$C$1000,"DMF",Overall!$F$2:$F$1000,"&gt;"&amp;C61)+1)</f>
        <v/>
      </c>
      <c r="B61" s="11" t="str">
        <f aca="false">IFERROR(INDEX(Overall!$B$2:$B$1000,MATCH("DMF|60",Overall!$I$2:$I$1000,0)),"")</f>
        <v/>
      </c>
      <c r="C61" s="19" t="str">
        <f aca="false">IFERROR(INDEX(Overall!$F$2:$F$1000,MATCH("DMF|60",Overall!$I$2:$I$1000,0)),"")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IF(B62="","",COUNTIFS(Overall!$C$2:$C$1000,"DMF",Overall!$F$2:$F$1000,"&gt;"&amp;C62)+1)</f>
        <v/>
      </c>
      <c r="B62" s="11" t="str">
        <f aca="false">IFERROR(INDEX(Overall!$B$2:$B$1000,MATCH("DMF|61",Overall!$I$2:$I$1000,0)),"")</f>
        <v/>
      </c>
      <c r="C62" s="19" t="str">
        <f aca="false">IFERROR(INDEX(Overall!$F$2:$F$1000,MATCH("DMF|61",Overall!$I$2:$I$1000,0)),"")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IF(B63="","",COUNTIFS(Overall!$C$2:$C$1000,"DMF",Overall!$F$2:$F$1000,"&gt;"&amp;C63)+1)</f>
        <v/>
      </c>
      <c r="B63" s="11" t="str">
        <f aca="false">IFERROR(INDEX(Overall!$B$2:$B$1000,MATCH("DMF|62",Overall!$I$2:$I$1000,0)),"")</f>
        <v/>
      </c>
      <c r="C63" s="19" t="str">
        <f aca="false">IFERROR(INDEX(Overall!$F$2:$F$1000,MATCH("DMF|62",Overall!$I$2:$I$1000,0)),"")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IF(B64="","",COUNTIFS(Overall!$C$2:$C$1000,"DMF",Overall!$F$2:$F$1000,"&gt;"&amp;C64)+1)</f>
        <v/>
      </c>
      <c r="B64" s="11" t="str">
        <f aca="false">IFERROR(INDEX(Overall!$B$2:$B$1000,MATCH("DMF|63",Overall!$I$2:$I$1000,0)),"")</f>
        <v/>
      </c>
      <c r="C64" s="19" t="str">
        <f aca="false">IFERROR(INDEX(Overall!$F$2:$F$1000,MATCH("DMF|63",Overall!$I$2:$I$1000,0)),"")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IF(B65="","",COUNTIFS(Overall!$C$2:$C$1000,"DMF",Overall!$F$2:$F$1000,"&gt;"&amp;C65)+1)</f>
        <v/>
      </c>
      <c r="B65" s="11" t="str">
        <f aca="false">IFERROR(INDEX(Overall!$B$2:$B$1000,MATCH("DMF|64",Overall!$I$2:$I$1000,0)),"")</f>
        <v/>
      </c>
      <c r="C65" s="19" t="str">
        <f aca="false">IFERROR(INDEX(Overall!$F$2:$F$1000,MATCH("DMF|64",Overall!$I$2:$I$1000,0)),"")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IF(B66="","",COUNTIFS(Overall!$C$2:$C$1000,"DMF",Overall!$F$2:$F$1000,"&gt;"&amp;C66)+1)</f>
        <v/>
      </c>
      <c r="B66" s="11" t="str">
        <f aca="false">IFERROR(INDEX(Overall!$B$2:$B$1000,MATCH("DMF|65",Overall!$I$2:$I$1000,0)),"")</f>
        <v/>
      </c>
      <c r="C66" s="19" t="str">
        <f aca="false">IFERROR(INDEX(Overall!$F$2:$F$1000,MATCH("DMF|65",Overall!$I$2:$I$1000,0)),"")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IF(B67="","",COUNTIFS(Overall!$C$2:$C$1000,"DMF",Overall!$F$2:$F$1000,"&gt;"&amp;C67)+1)</f>
        <v/>
      </c>
      <c r="B67" s="11" t="str">
        <f aca="false">IFERROR(INDEX(Overall!$B$2:$B$1000,MATCH("DMF|66",Overall!$I$2:$I$1000,0)),"")</f>
        <v/>
      </c>
      <c r="C67" s="19" t="str">
        <f aca="false">IFERROR(INDEX(Overall!$F$2:$F$1000,MATCH("DMF|66",Overall!$I$2:$I$1000,0)),"")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IF(B68="","",COUNTIFS(Overall!$C$2:$C$1000,"DMF",Overall!$F$2:$F$1000,"&gt;"&amp;C68)+1)</f>
        <v/>
      </c>
      <c r="B68" s="11" t="str">
        <f aca="false">IFERROR(INDEX(Overall!$B$2:$B$1000,MATCH("DMF|67",Overall!$I$2:$I$1000,0)),"")</f>
        <v/>
      </c>
      <c r="C68" s="19" t="str">
        <f aca="false">IFERROR(INDEX(Overall!$F$2:$F$1000,MATCH("DMF|67",Overall!$I$2:$I$1000,0)),"")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IF(B69="","",COUNTIFS(Overall!$C$2:$C$1000,"DMF",Overall!$F$2:$F$1000,"&gt;"&amp;C69)+1)</f>
        <v/>
      </c>
      <c r="B69" s="11" t="str">
        <f aca="false">IFERROR(INDEX(Overall!$B$2:$B$1000,MATCH("DMF|68",Overall!$I$2:$I$1000,0)),"")</f>
        <v/>
      </c>
      <c r="C69" s="19" t="str">
        <f aca="false">IFERROR(INDEX(Overall!$F$2:$F$1000,MATCH("DMF|68",Overall!$I$2:$I$1000,0)),"")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IF(B70="","",COUNTIFS(Overall!$C$2:$C$1000,"DMF",Overall!$F$2:$F$1000,"&gt;"&amp;C70)+1)</f>
        <v/>
      </c>
      <c r="B70" s="11" t="str">
        <f aca="false">IFERROR(INDEX(Overall!$B$2:$B$1000,MATCH("DMF|69",Overall!$I$2:$I$1000,0)),"")</f>
        <v/>
      </c>
      <c r="C70" s="19" t="str">
        <f aca="false">IFERROR(INDEX(Overall!$F$2:$F$1000,MATCH("DMF|69",Overall!$I$2:$I$1000,0)),"")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IF(B71="","",COUNTIFS(Overall!$C$2:$C$1000,"DMF",Overall!$F$2:$F$1000,"&gt;"&amp;C71)+1)</f>
        <v/>
      </c>
      <c r="B71" s="11" t="str">
        <f aca="false">IFERROR(INDEX(Overall!$B$2:$B$1000,MATCH("DMF|70",Overall!$I$2:$I$1000,0)),"")</f>
        <v/>
      </c>
      <c r="C71" s="19" t="str">
        <f aca="false">IFERROR(INDEX(Overall!$F$2:$F$1000,MATCH("DMF|70",Overall!$I$2:$I$1000,0)),"")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IF(B72="","",COUNTIFS(Overall!$C$2:$C$1000,"DMF",Overall!$F$2:$F$1000,"&gt;"&amp;C72)+1)</f>
        <v/>
      </c>
      <c r="B72" s="11" t="str">
        <f aca="false">IFERROR(INDEX(Overall!$B$2:$B$1000,MATCH("DMF|71",Overall!$I$2:$I$1000,0)),"")</f>
        <v/>
      </c>
      <c r="C72" s="19" t="str">
        <f aca="false">IFERROR(INDEX(Overall!$F$2:$F$1000,MATCH("DMF|71",Overall!$I$2:$I$1000,0)),"")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IF(B73="","",COUNTIFS(Overall!$C$2:$C$1000,"DMF",Overall!$F$2:$F$1000,"&gt;"&amp;C73)+1)</f>
        <v/>
      </c>
      <c r="B73" s="11" t="str">
        <f aca="false">IFERROR(INDEX(Overall!$B$2:$B$1000,MATCH("DMF|72",Overall!$I$2:$I$1000,0)),"")</f>
        <v/>
      </c>
      <c r="C73" s="19" t="str">
        <f aca="false">IFERROR(INDEX(Overall!$F$2:$F$1000,MATCH("DMF|72",Overall!$I$2:$I$1000,0)),"")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IF(B74="","",COUNTIFS(Overall!$C$2:$C$1000,"DMF",Overall!$F$2:$F$1000,"&gt;"&amp;C74)+1)</f>
        <v/>
      </c>
      <c r="B74" s="11" t="str">
        <f aca="false">IFERROR(INDEX(Overall!$B$2:$B$1000,MATCH("DMF|73",Overall!$I$2:$I$1000,0)),"")</f>
        <v/>
      </c>
      <c r="C74" s="19" t="str">
        <f aca="false">IFERROR(INDEX(Overall!$F$2:$F$1000,MATCH("DMF|73",Overall!$I$2:$I$1000,0)),"")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IF(B75="","",COUNTIFS(Overall!$C$2:$C$1000,"DMF",Overall!$F$2:$F$1000,"&gt;"&amp;C75)+1)</f>
        <v/>
      </c>
      <c r="B75" s="11" t="str">
        <f aca="false">IFERROR(INDEX(Overall!$B$2:$B$1000,MATCH("DMF|74",Overall!$I$2:$I$1000,0)),"")</f>
        <v/>
      </c>
      <c r="C75" s="19" t="str">
        <f aca="false">IFERROR(INDEX(Overall!$F$2:$F$1000,MATCH("DMF|74",Overall!$I$2:$I$1000,0)),"")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IF(B76="","",COUNTIFS(Overall!$C$2:$C$1000,"DMF",Overall!$F$2:$F$1000,"&gt;"&amp;C76)+1)</f>
        <v/>
      </c>
      <c r="B76" s="11" t="str">
        <f aca="false">IFERROR(INDEX(Overall!$B$2:$B$1000,MATCH("DMF|75",Overall!$I$2:$I$1000,0)),"")</f>
        <v/>
      </c>
      <c r="C76" s="19" t="str">
        <f aca="false">IFERROR(INDEX(Overall!$F$2:$F$1000,MATCH("DMF|75",Overall!$I$2:$I$1000,0)),"")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IF(B77="","",COUNTIFS(Overall!$C$2:$C$1000,"DMF",Overall!$F$2:$F$1000,"&gt;"&amp;C77)+1)</f>
        <v/>
      </c>
      <c r="B77" s="11" t="str">
        <f aca="false">IFERROR(INDEX(Overall!$B$2:$B$1000,MATCH("DMF|76",Overall!$I$2:$I$1000,0)),"")</f>
        <v/>
      </c>
      <c r="C77" s="19" t="str">
        <f aca="false">IFERROR(INDEX(Overall!$F$2:$F$1000,MATCH("DMF|76",Overall!$I$2:$I$1000,0)),"")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IF(B78="","",COUNTIFS(Overall!$C$2:$C$1000,"DMF",Overall!$F$2:$F$1000,"&gt;"&amp;C78)+1)</f>
        <v/>
      </c>
      <c r="B78" s="11" t="str">
        <f aca="false">IFERROR(INDEX(Overall!$B$2:$B$1000,MATCH("DMF|77",Overall!$I$2:$I$1000,0)),"")</f>
        <v/>
      </c>
      <c r="C78" s="19" t="str">
        <f aca="false">IFERROR(INDEX(Overall!$F$2:$F$1000,MATCH("DMF|77",Overall!$I$2:$I$1000,0)),"")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IF(B79="","",COUNTIFS(Overall!$C$2:$C$1000,"DMF",Overall!$F$2:$F$1000,"&gt;"&amp;C79)+1)</f>
        <v/>
      </c>
      <c r="B79" s="11" t="str">
        <f aca="false">IFERROR(INDEX(Overall!$B$2:$B$1000,MATCH("DMF|78",Overall!$I$2:$I$1000,0)),"")</f>
        <v/>
      </c>
      <c r="C79" s="19" t="str">
        <f aca="false">IFERROR(INDEX(Overall!$F$2:$F$1000,MATCH("DMF|78",Overall!$I$2:$I$1000,0)),"")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IF(B80="","",COUNTIFS(Overall!$C$2:$C$1000,"DMF",Overall!$F$2:$F$1000,"&gt;"&amp;C80)+1)</f>
        <v/>
      </c>
      <c r="B80" s="11" t="str">
        <f aca="false">IFERROR(INDEX(Overall!$B$2:$B$1000,MATCH("DMF|79",Overall!$I$2:$I$1000,0)),"")</f>
        <v/>
      </c>
      <c r="C80" s="19" t="str">
        <f aca="false">IFERROR(INDEX(Overall!$F$2:$F$1000,MATCH("DMF|79",Overall!$I$2:$I$1000,0)),"")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IF(B81="","",COUNTIFS(Overall!$C$2:$C$1000,"DMF",Overall!$F$2:$F$1000,"&gt;"&amp;C81)+1)</f>
        <v/>
      </c>
      <c r="B81" s="11" t="str">
        <f aca="false">IFERROR(INDEX(Overall!$B$2:$B$1000,MATCH("DMF|80",Overall!$I$2:$I$1000,0)),"")</f>
        <v/>
      </c>
      <c r="C81" s="19" t="str">
        <f aca="false">IFERROR(INDEX(Overall!$F$2:$F$1000,MATCH("DMF|80",Overall!$I$2:$I$1000,0)),"")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IF(B82="","",COUNTIFS(Overall!$C$2:$C$1000,"DMF",Overall!$F$2:$F$1000,"&gt;"&amp;C82)+1)</f>
        <v/>
      </c>
      <c r="B82" s="11" t="str">
        <f aca="false">IFERROR(INDEX(Overall!$B$2:$B$1000,MATCH("DMF|81",Overall!$I$2:$I$1000,0)),"")</f>
        <v/>
      </c>
      <c r="C82" s="19" t="str">
        <f aca="false">IFERROR(INDEX(Overall!$F$2:$F$1000,MATCH("DMF|81",Overall!$I$2:$I$1000,0)),"")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IF(B83="","",COUNTIFS(Overall!$C$2:$C$1000,"DMF",Overall!$F$2:$F$1000,"&gt;"&amp;C83)+1)</f>
        <v/>
      </c>
      <c r="B83" s="11" t="str">
        <f aca="false">IFERROR(INDEX(Overall!$B$2:$B$1000,MATCH("DMF|82",Overall!$I$2:$I$1000,0)),"")</f>
        <v/>
      </c>
      <c r="C83" s="19" t="str">
        <f aca="false">IFERROR(INDEX(Overall!$F$2:$F$1000,MATCH("DMF|82",Overall!$I$2:$I$1000,0)),"")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IF(B84="","",COUNTIFS(Overall!$C$2:$C$1000,"DMF",Overall!$F$2:$F$1000,"&gt;"&amp;C84)+1)</f>
        <v/>
      </c>
      <c r="B84" s="11" t="str">
        <f aca="false">IFERROR(INDEX(Overall!$B$2:$B$1000,MATCH("DMF|83",Overall!$I$2:$I$1000,0)),"")</f>
        <v/>
      </c>
      <c r="C84" s="19" t="str">
        <f aca="false">IFERROR(INDEX(Overall!$F$2:$F$1000,MATCH("DMF|83",Overall!$I$2:$I$1000,0)),"")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IF(B85="","",COUNTIFS(Overall!$C$2:$C$1000,"DMF",Overall!$F$2:$F$1000,"&gt;"&amp;C85)+1)</f>
        <v/>
      </c>
      <c r="B85" s="11" t="str">
        <f aca="false">IFERROR(INDEX(Overall!$B$2:$B$1000,MATCH("DMF|84",Overall!$I$2:$I$1000,0)),"")</f>
        <v/>
      </c>
      <c r="C85" s="19" t="str">
        <f aca="false">IFERROR(INDEX(Overall!$F$2:$F$1000,MATCH("DMF|84",Overall!$I$2:$I$1000,0)),"")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IF(B86="","",COUNTIFS(Overall!$C$2:$C$1000,"DMF",Overall!$F$2:$F$1000,"&gt;"&amp;C86)+1)</f>
        <v/>
      </c>
      <c r="B86" s="11" t="str">
        <f aca="false">IFERROR(INDEX(Overall!$B$2:$B$1000,MATCH("DMF|85",Overall!$I$2:$I$1000,0)),"")</f>
        <v/>
      </c>
      <c r="C86" s="19" t="str">
        <f aca="false">IFERROR(INDEX(Overall!$F$2:$F$1000,MATCH("DMF|85",Overall!$I$2:$I$1000,0)),"")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IF(B87="","",COUNTIFS(Overall!$C$2:$C$1000,"DMF",Overall!$F$2:$F$1000,"&gt;"&amp;C87)+1)</f>
        <v/>
      </c>
      <c r="B87" s="11" t="str">
        <f aca="false">IFERROR(INDEX(Overall!$B$2:$B$1000,MATCH("DMF|86",Overall!$I$2:$I$1000,0)),"")</f>
        <v/>
      </c>
      <c r="C87" s="19" t="str">
        <f aca="false">IFERROR(INDEX(Overall!$F$2:$F$1000,MATCH("DMF|86",Overall!$I$2:$I$1000,0)),"")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IF(B88="","",COUNTIFS(Overall!$C$2:$C$1000,"DMF",Overall!$F$2:$F$1000,"&gt;"&amp;C88)+1)</f>
        <v/>
      </c>
      <c r="B88" s="11" t="str">
        <f aca="false">IFERROR(INDEX(Overall!$B$2:$B$1000,MATCH("DMF|87",Overall!$I$2:$I$1000,0)),"")</f>
        <v/>
      </c>
      <c r="C88" s="19" t="str">
        <f aca="false">IFERROR(INDEX(Overall!$F$2:$F$1000,MATCH("DMF|87",Overall!$I$2:$I$1000,0)),"")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IF(B89="","",COUNTIFS(Overall!$C$2:$C$1000,"DMF",Overall!$F$2:$F$1000,"&gt;"&amp;C89)+1)</f>
        <v/>
      </c>
      <c r="B89" s="11" t="str">
        <f aca="false">IFERROR(INDEX(Overall!$B$2:$B$1000,MATCH("DMF|88",Overall!$I$2:$I$1000,0)),"")</f>
        <v/>
      </c>
      <c r="C89" s="19" t="str">
        <f aca="false">IFERROR(INDEX(Overall!$F$2:$F$1000,MATCH("DMF|88",Overall!$I$2:$I$1000,0)),"")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IF(B90="","",COUNTIFS(Overall!$C$2:$C$1000,"DMF",Overall!$F$2:$F$1000,"&gt;"&amp;C90)+1)</f>
        <v/>
      </c>
      <c r="B90" s="11" t="str">
        <f aca="false">IFERROR(INDEX(Overall!$B$2:$B$1000,MATCH("DMF|89",Overall!$I$2:$I$1000,0)),"")</f>
        <v/>
      </c>
      <c r="C90" s="19" t="str">
        <f aca="false">IFERROR(INDEX(Overall!$F$2:$F$1000,MATCH("DMF|89",Overall!$I$2:$I$1000,0)),"")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IF(B91="","",COUNTIFS(Overall!$C$2:$C$1000,"DMF",Overall!$F$2:$F$1000,"&gt;"&amp;C91)+1)</f>
        <v/>
      </c>
      <c r="B91" s="11" t="str">
        <f aca="false">IFERROR(INDEX(Overall!$B$2:$B$1000,MATCH("DMF|90",Overall!$I$2:$I$1000,0)),"")</f>
        <v/>
      </c>
      <c r="C91" s="19" t="str">
        <f aca="false">IFERROR(INDEX(Overall!$F$2:$F$1000,MATCH("DMF|90",Overall!$I$2:$I$1000,0)),"")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IF(B92="","",COUNTIFS(Overall!$C$2:$C$1000,"DMF",Overall!$F$2:$F$1000,"&gt;"&amp;C92)+1)</f>
        <v/>
      </c>
      <c r="B92" s="11" t="str">
        <f aca="false">IFERROR(INDEX(Overall!$B$2:$B$1000,MATCH("DMF|91",Overall!$I$2:$I$1000,0)),"")</f>
        <v/>
      </c>
      <c r="C92" s="19" t="str">
        <f aca="false">IFERROR(INDEX(Overall!$F$2:$F$1000,MATCH("DMF|91",Overall!$I$2:$I$1000,0)),"")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IF(B93="","",COUNTIFS(Overall!$C$2:$C$1000,"DMF",Overall!$F$2:$F$1000,"&gt;"&amp;C93)+1)</f>
        <v/>
      </c>
      <c r="B93" s="11" t="str">
        <f aca="false">IFERROR(INDEX(Overall!$B$2:$B$1000,MATCH("DMF|92",Overall!$I$2:$I$1000,0)),"")</f>
        <v/>
      </c>
      <c r="C93" s="19" t="str">
        <f aca="false">IFERROR(INDEX(Overall!$F$2:$F$1000,MATCH("DMF|92",Overall!$I$2:$I$1000,0)),"")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IF(B94="","",COUNTIFS(Overall!$C$2:$C$1000,"DMF",Overall!$F$2:$F$1000,"&gt;"&amp;C94)+1)</f>
        <v/>
      </c>
      <c r="B94" s="11" t="str">
        <f aca="false">IFERROR(INDEX(Overall!$B$2:$B$1000,MATCH("DMF|93",Overall!$I$2:$I$1000,0)),"")</f>
        <v/>
      </c>
      <c r="C94" s="19" t="str">
        <f aca="false">IFERROR(INDEX(Overall!$F$2:$F$1000,MATCH("DMF|93",Overall!$I$2:$I$1000,0)),"")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IF(B95="","",COUNTIFS(Overall!$C$2:$C$1000,"DMF",Overall!$F$2:$F$1000,"&gt;"&amp;C95)+1)</f>
        <v/>
      </c>
      <c r="B95" s="11" t="str">
        <f aca="false">IFERROR(INDEX(Overall!$B$2:$B$1000,MATCH("DMF|94",Overall!$I$2:$I$1000,0)),"")</f>
        <v/>
      </c>
      <c r="C95" s="19" t="str">
        <f aca="false">IFERROR(INDEX(Overall!$F$2:$F$1000,MATCH("DMF|94",Overall!$I$2:$I$1000,0)),"")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IF(B96="","",COUNTIFS(Overall!$C$2:$C$1000,"DMF",Overall!$F$2:$F$1000,"&gt;"&amp;C96)+1)</f>
        <v/>
      </c>
      <c r="B96" s="11" t="str">
        <f aca="false">IFERROR(INDEX(Overall!$B$2:$B$1000,MATCH("DMF|95",Overall!$I$2:$I$1000,0)),"")</f>
        <v/>
      </c>
      <c r="C96" s="19" t="str">
        <f aca="false">IFERROR(INDEX(Overall!$F$2:$F$1000,MATCH("DMF|95",Overall!$I$2:$I$1000,0)),"")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IF(B97="","",COUNTIFS(Overall!$C$2:$C$1000,"DMF",Overall!$F$2:$F$1000,"&gt;"&amp;C97)+1)</f>
        <v/>
      </c>
      <c r="B97" s="11" t="str">
        <f aca="false">IFERROR(INDEX(Overall!$B$2:$B$1000,MATCH("DMF|96",Overall!$I$2:$I$1000,0)),"")</f>
        <v/>
      </c>
      <c r="C97" s="19" t="str">
        <f aca="false">IFERROR(INDEX(Overall!$F$2:$F$1000,MATCH("DMF|96",Overall!$I$2:$I$1000,0)),"")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IF(B98="","",COUNTIFS(Overall!$C$2:$C$1000,"DMF",Overall!$F$2:$F$1000,"&gt;"&amp;C98)+1)</f>
        <v/>
      </c>
      <c r="B98" s="11" t="str">
        <f aca="false">IFERROR(INDEX(Overall!$B$2:$B$1000,MATCH("DMF|97",Overall!$I$2:$I$1000,0)),"")</f>
        <v/>
      </c>
      <c r="C98" s="19" t="str">
        <f aca="false">IFERROR(INDEX(Overall!$F$2:$F$1000,MATCH("DMF|97",Overall!$I$2:$I$1000,0)),"")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IF(B99="","",COUNTIFS(Overall!$C$2:$C$1000,"DMF",Overall!$F$2:$F$1000,"&gt;"&amp;C99)+1)</f>
        <v/>
      </c>
      <c r="B99" s="11" t="str">
        <f aca="false">IFERROR(INDEX(Overall!$B$2:$B$1000,MATCH("DMF|98",Overall!$I$2:$I$1000,0)),"")</f>
        <v/>
      </c>
      <c r="C99" s="19" t="str">
        <f aca="false">IFERROR(INDEX(Overall!$F$2:$F$1000,MATCH("DMF|98",Overall!$I$2:$I$1000,0)),"")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IF(B100="","",COUNTIFS(Overall!$C$2:$C$1000,"DMF",Overall!$F$2:$F$1000,"&gt;"&amp;C100)+1)</f>
        <v/>
      </c>
      <c r="B100" s="11" t="str">
        <f aca="false">IFERROR(INDEX(Overall!$B$2:$B$1000,MATCH("DMF|99",Overall!$I$2:$I$1000,0)),"")</f>
        <v/>
      </c>
      <c r="C100" s="19" t="str">
        <f aca="false">IFERROR(INDEX(Overall!$F$2:$F$1000,MATCH("DMF|99",Overall!$I$2:$I$1000,0)),"")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IF(B101="","",COUNTIFS(Overall!$C$2:$C$1000,"DMF",Overall!$F$2:$F$1000,"&gt;"&amp;C101)+1)</f>
        <v/>
      </c>
      <c r="B101" s="11" t="str">
        <f aca="false">IFERROR(INDEX(Overall!$B$2:$B$1000,MATCH("DMF|100",Overall!$I$2:$I$1000,0)),"")</f>
        <v/>
      </c>
      <c r="C101" s="19" t="str">
        <f aca="false">IFERROR(INDEX(Overall!$F$2:$F$1000,MATCH("DMF|100",Overall!$I$2:$I$1000,0)),"")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IF(B102="","",COUNTIFS(Overall!$C$2:$C$1000,"DMF",Overall!$F$2:$F$1000,"&gt;"&amp;C102)+1)</f>
        <v/>
      </c>
      <c r="B102" s="11" t="str">
        <f aca="false">IFERROR(INDEX(Overall!$B$2:$B$1000,MATCH("DMF|101",Overall!$I$2:$I$1000,0)),"")</f>
        <v/>
      </c>
      <c r="C102" s="19" t="str">
        <f aca="false">IFERROR(INDEX(Overall!$F$2:$F$1000,MATCH("DMF|101",Overall!$I$2:$I$1000,0)),"")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IF(B103="","",COUNTIFS(Overall!$C$2:$C$1000,"DMF",Overall!$F$2:$F$1000,"&gt;"&amp;C103)+1)</f>
        <v/>
      </c>
      <c r="B103" s="11" t="str">
        <f aca="false">IFERROR(INDEX(Overall!$B$2:$B$1000,MATCH("DMF|102",Overall!$I$2:$I$1000,0)),"")</f>
        <v/>
      </c>
      <c r="C103" s="19" t="str">
        <f aca="false">IFERROR(INDEX(Overall!$F$2:$F$1000,MATCH("DMF|102",Overall!$I$2:$I$1000,0)),"")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IF(B104="","",COUNTIFS(Overall!$C$2:$C$1000,"DMF",Overall!$F$2:$F$1000,"&gt;"&amp;C104)+1)</f>
        <v/>
      </c>
      <c r="B104" s="11" t="str">
        <f aca="false">IFERROR(INDEX(Overall!$B$2:$B$1000,MATCH("DMF|103",Overall!$I$2:$I$1000,0)),"")</f>
        <v/>
      </c>
      <c r="C104" s="19" t="str">
        <f aca="false">IFERROR(INDEX(Overall!$F$2:$F$1000,MATCH("DMF|103",Overall!$I$2:$I$1000,0)),"")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IF(B105="","",COUNTIFS(Overall!$C$2:$C$1000,"DMF",Overall!$F$2:$F$1000,"&gt;"&amp;C105)+1)</f>
        <v/>
      </c>
      <c r="B105" s="11" t="str">
        <f aca="false">IFERROR(INDEX(Overall!$B$2:$B$1000,MATCH("DMF|104",Overall!$I$2:$I$1000,0)),"")</f>
        <v/>
      </c>
      <c r="C105" s="19" t="str">
        <f aca="false">IFERROR(INDEX(Overall!$F$2:$F$1000,MATCH("DMF|104",Overall!$I$2:$I$1000,0)),"")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IF(B106="","",COUNTIFS(Overall!$C$2:$C$1000,"DMF",Overall!$F$2:$F$1000,"&gt;"&amp;C106)+1)</f>
        <v/>
      </c>
      <c r="B106" s="11" t="str">
        <f aca="false">IFERROR(INDEX(Overall!$B$2:$B$1000,MATCH("DMF|105",Overall!$I$2:$I$1000,0)),"")</f>
        <v/>
      </c>
      <c r="C106" s="19" t="str">
        <f aca="false">IFERROR(INDEX(Overall!$F$2:$F$1000,MATCH("DMF|105",Overall!$I$2:$I$1000,0)),"")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IF(B107="","",COUNTIFS(Overall!$C$2:$C$1000,"DMF",Overall!$F$2:$F$1000,"&gt;"&amp;C107)+1)</f>
        <v/>
      </c>
      <c r="B107" s="11" t="str">
        <f aca="false">IFERROR(INDEX(Overall!$B$2:$B$1000,MATCH("DMF|106",Overall!$I$2:$I$1000,0)),"")</f>
        <v/>
      </c>
      <c r="C107" s="19" t="str">
        <f aca="false">IFERROR(INDEX(Overall!$F$2:$F$1000,MATCH("DMF|106",Overall!$I$2:$I$1000,0)),"")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IF(B108="","",COUNTIFS(Overall!$C$2:$C$1000,"DMF",Overall!$F$2:$F$1000,"&gt;"&amp;C108)+1)</f>
        <v/>
      </c>
      <c r="B108" s="11" t="str">
        <f aca="false">IFERROR(INDEX(Overall!$B$2:$B$1000,MATCH("DMF|107",Overall!$I$2:$I$1000,0)),"")</f>
        <v/>
      </c>
      <c r="C108" s="19" t="str">
        <f aca="false">IFERROR(INDEX(Overall!$F$2:$F$1000,MATCH("DMF|107",Overall!$I$2:$I$1000,0)),"")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IF(B109="","",COUNTIFS(Overall!$C$2:$C$1000,"DMF",Overall!$F$2:$F$1000,"&gt;"&amp;C109)+1)</f>
        <v/>
      </c>
      <c r="B109" s="11" t="str">
        <f aca="false">IFERROR(INDEX(Overall!$B$2:$B$1000,MATCH("DMF|108",Overall!$I$2:$I$1000,0)),"")</f>
        <v/>
      </c>
      <c r="C109" s="19" t="str">
        <f aca="false">IFERROR(INDEX(Overall!$F$2:$F$1000,MATCH("DMF|108",Overall!$I$2:$I$1000,0)),"")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IF(B110="","",COUNTIFS(Overall!$C$2:$C$1000,"DMF",Overall!$F$2:$F$1000,"&gt;"&amp;C110)+1)</f>
        <v/>
      </c>
      <c r="B110" s="11" t="str">
        <f aca="false">IFERROR(INDEX(Overall!$B$2:$B$1000,MATCH("DMF|109",Overall!$I$2:$I$1000,0)),"")</f>
        <v/>
      </c>
      <c r="C110" s="19" t="str">
        <f aca="false">IFERROR(INDEX(Overall!$F$2:$F$1000,MATCH("DMF|109",Overall!$I$2:$I$1000,0)),"")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IF(B111="","",COUNTIFS(Overall!$C$2:$C$1000,"DMF",Overall!$F$2:$F$1000,"&gt;"&amp;C111)+1)</f>
        <v/>
      </c>
      <c r="B111" s="11" t="str">
        <f aca="false">IFERROR(INDEX(Overall!$B$2:$B$1000,MATCH("DMF|110",Overall!$I$2:$I$1000,0)),"")</f>
        <v/>
      </c>
      <c r="C111" s="19" t="str">
        <f aca="false">IFERROR(INDEX(Overall!$F$2:$F$1000,MATCH("DMF|110",Overall!$I$2:$I$1000,0)),"")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IF(B112="","",COUNTIFS(Overall!$C$2:$C$1000,"DMF",Overall!$F$2:$F$1000,"&gt;"&amp;C112)+1)</f>
        <v/>
      </c>
      <c r="B112" s="11" t="str">
        <f aca="false">IFERROR(INDEX(Overall!$B$2:$B$1000,MATCH("DMF|111",Overall!$I$2:$I$1000,0)),"")</f>
        <v/>
      </c>
      <c r="C112" s="19" t="str">
        <f aca="false">IFERROR(INDEX(Overall!$F$2:$F$1000,MATCH("DMF|111",Overall!$I$2:$I$1000,0)),"")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IF(B113="","",COUNTIFS(Overall!$C$2:$C$1000,"DMF",Overall!$F$2:$F$1000,"&gt;"&amp;C113)+1)</f>
        <v/>
      </c>
      <c r="B113" s="11" t="str">
        <f aca="false">IFERROR(INDEX(Overall!$B$2:$B$1000,MATCH("DMF|112",Overall!$I$2:$I$1000,0)),"")</f>
        <v/>
      </c>
      <c r="C113" s="19" t="str">
        <f aca="false">IFERROR(INDEX(Overall!$F$2:$F$1000,MATCH("DMF|112",Overall!$I$2:$I$1000,0)),"")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IF(B114="","",COUNTIFS(Overall!$C$2:$C$1000,"DMF",Overall!$F$2:$F$1000,"&gt;"&amp;C114)+1)</f>
        <v/>
      </c>
      <c r="B114" s="11" t="str">
        <f aca="false">IFERROR(INDEX(Overall!$B$2:$B$1000,MATCH("DMF|113",Overall!$I$2:$I$1000,0)),"")</f>
        <v/>
      </c>
      <c r="C114" s="19" t="str">
        <f aca="false">IFERROR(INDEX(Overall!$F$2:$F$1000,MATCH("DMF|113",Overall!$I$2:$I$1000,0)),"")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IF(B115="","",COUNTIFS(Overall!$C$2:$C$1000,"DMF",Overall!$F$2:$F$1000,"&gt;"&amp;C115)+1)</f>
        <v/>
      </c>
      <c r="B115" s="11" t="str">
        <f aca="false">IFERROR(INDEX(Overall!$B$2:$B$1000,MATCH("DMF|114",Overall!$I$2:$I$1000,0)),"")</f>
        <v/>
      </c>
      <c r="C115" s="19" t="str">
        <f aca="false">IFERROR(INDEX(Overall!$F$2:$F$1000,MATCH("DMF|114",Overall!$I$2:$I$1000,0)),"")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IF(B116="","",COUNTIFS(Overall!$C$2:$C$1000,"DMF",Overall!$F$2:$F$1000,"&gt;"&amp;C116)+1)</f>
        <v/>
      </c>
      <c r="B116" s="11" t="str">
        <f aca="false">IFERROR(INDEX(Overall!$B$2:$B$1000,MATCH("DMF|115",Overall!$I$2:$I$1000,0)),"")</f>
        <v/>
      </c>
      <c r="C116" s="19" t="str">
        <f aca="false">IFERROR(INDEX(Overall!$F$2:$F$1000,MATCH("DMF|115",Overall!$I$2:$I$1000,0)),"")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IF(B117="","",COUNTIFS(Overall!$C$2:$C$1000,"DMF",Overall!$F$2:$F$1000,"&gt;"&amp;C117)+1)</f>
        <v/>
      </c>
      <c r="B117" s="11" t="str">
        <f aca="false">IFERROR(INDEX(Overall!$B$2:$B$1000,MATCH("DMF|116",Overall!$I$2:$I$1000,0)),"")</f>
        <v/>
      </c>
      <c r="C117" s="19" t="str">
        <f aca="false">IFERROR(INDEX(Overall!$F$2:$F$1000,MATCH("DMF|116",Overall!$I$2:$I$1000,0)),"")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IF(B118="","",COUNTIFS(Overall!$C$2:$C$1000,"DMF",Overall!$F$2:$F$1000,"&gt;"&amp;C118)+1)</f>
        <v/>
      </c>
      <c r="B118" s="11" t="str">
        <f aca="false">IFERROR(INDEX(Overall!$B$2:$B$1000,MATCH("DMF|117",Overall!$I$2:$I$1000,0)),"")</f>
        <v/>
      </c>
      <c r="C118" s="19" t="str">
        <f aca="false">IFERROR(INDEX(Overall!$F$2:$F$1000,MATCH("DMF|117",Overall!$I$2:$I$1000,0)),"")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IF(B119="","",COUNTIFS(Overall!$C$2:$C$1000,"DMF",Overall!$F$2:$F$1000,"&gt;"&amp;C119)+1)</f>
        <v/>
      </c>
      <c r="B119" s="11" t="str">
        <f aca="false">IFERROR(INDEX(Overall!$B$2:$B$1000,MATCH("DMF|118",Overall!$I$2:$I$1000,0)),"")</f>
        <v/>
      </c>
      <c r="C119" s="19" t="str">
        <f aca="false">IFERROR(INDEX(Overall!$F$2:$F$1000,MATCH("DMF|118",Overall!$I$2:$I$1000,0)),"")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IF(B120="","",COUNTIFS(Overall!$C$2:$C$1000,"DMF",Overall!$F$2:$F$1000,"&gt;"&amp;C120)+1)</f>
        <v/>
      </c>
      <c r="B120" s="11" t="str">
        <f aca="false">IFERROR(INDEX(Overall!$B$2:$B$1000,MATCH("DMF|119",Overall!$I$2:$I$1000,0)),"")</f>
        <v/>
      </c>
      <c r="C120" s="19" t="str">
        <f aca="false">IFERROR(INDEX(Overall!$F$2:$F$1000,MATCH("DMF|119",Overall!$I$2:$I$1000,0)),"")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IF(B121="","",COUNTIFS(Overall!$C$2:$C$1000,"DMF",Overall!$F$2:$F$1000,"&gt;"&amp;C121)+1)</f>
        <v/>
      </c>
      <c r="B121" s="11" t="str">
        <f aca="false">IFERROR(INDEX(Overall!$B$2:$B$1000,MATCH("DMF|120",Overall!$I$2:$I$1000,0)),"")</f>
        <v/>
      </c>
      <c r="C121" s="19" t="str">
        <f aca="false">IFERROR(INDEX(Overall!$F$2:$F$1000,MATCH("DMF|120",Overall!$I$2:$I$1000,0)),"")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IF(B122="","",COUNTIFS(Overall!$C$2:$C$1000,"DMF",Overall!$F$2:$F$1000,"&gt;"&amp;C122)+1)</f>
        <v/>
      </c>
      <c r="B122" s="11" t="str">
        <f aca="false">IFERROR(INDEX(Overall!$B$2:$B$1000,MATCH("DMF|121",Overall!$I$2:$I$1000,0)),"")</f>
        <v/>
      </c>
      <c r="C122" s="19" t="str">
        <f aca="false">IFERROR(INDEX(Overall!$F$2:$F$1000,MATCH("DMF|121",Overall!$I$2:$I$1000,0)),"")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IF(B123="","",COUNTIFS(Overall!$C$2:$C$1000,"DMF",Overall!$F$2:$F$1000,"&gt;"&amp;C123)+1)</f>
        <v/>
      </c>
      <c r="B123" s="11" t="str">
        <f aca="false">IFERROR(INDEX(Overall!$B$2:$B$1000,MATCH("DMF|122",Overall!$I$2:$I$1000,0)),"")</f>
        <v/>
      </c>
      <c r="C123" s="19" t="str">
        <f aca="false">IFERROR(INDEX(Overall!$F$2:$F$1000,MATCH("DMF|122",Overall!$I$2:$I$1000,0)),"")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IF(B124="","",COUNTIFS(Overall!$C$2:$C$1000,"DMF",Overall!$F$2:$F$1000,"&gt;"&amp;C124)+1)</f>
        <v/>
      </c>
      <c r="B124" s="11" t="str">
        <f aca="false">IFERROR(INDEX(Overall!$B$2:$B$1000,MATCH("DMF|123",Overall!$I$2:$I$1000,0)),"")</f>
        <v/>
      </c>
      <c r="C124" s="19" t="str">
        <f aca="false">IFERROR(INDEX(Overall!$F$2:$F$1000,MATCH("DMF|123",Overall!$I$2:$I$1000,0)),"")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IF(B125="","",COUNTIFS(Overall!$C$2:$C$1000,"DMF",Overall!$F$2:$F$1000,"&gt;"&amp;C125)+1)</f>
        <v/>
      </c>
      <c r="B125" s="11" t="str">
        <f aca="false">IFERROR(INDEX(Overall!$B$2:$B$1000,MATCH("DMF|124",Overall!$I$2:$I$1000,0)),"")</f>
        <v/>
      </c>
      <c r="C125" s="19" t="str">
        <f aca="false">IFERROR(INDEX(Overall!$F$2:$F$1000,MATCH("DMF|124",Overall!$I$2:$I$1000,0)),"")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IF(B126="","",COUNTIFS(Overall!$C$2:$C$1000,"DMF",Overall!$F$2:$F$1000,"&gt;"&amp;C126)+1)</f>
        <v/>
      </c>
      <c r="B126" s="11" t="str">
        <f aca="false">IFERROR(INDEX(Overall!$B$2:$B$1000,MATCH("DMF|125",Overall!$I$2:$I$1000,0)),"")</f>
        <v/>
      </c>
      <c r="C126" s="19" t="str">
        <f aca="false">IFERROR(INDEX(Overall!$F$2:$F$1000,MATCH("DMF|125",Overall!$I$2:$I$1000,0)),"")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IF(B127="","",COUNTIFS(Overall!$C$2:$C$1000,"DMF",Overall!$F$2:$F$1000,"&gt;"&amp;C127)+1)</f>
        <v/>
      </c>
      <c r="B127" s="11" t="str">
        <f aca="false">IFERROR(INDEX(Overall!$B$2:$B$1000,MATCH("DMF|126",Overall!$I$2:$I$1000,0)),"")</f>
        <v/>
      </c>
      <c r="C127" s="19" t="str">
        <f aca="false">IFERROR(INDEX(Overall!$F$2:$F$1000,MATCH("DMF|126",Overall!$I$2:$I$1000,0)),"")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IF(B128="","",COUNTIFS(Overall!$C$2:$C$1000,"DMF",Overall!$F$2:$F$1000,"&gt;"&amp;C128)+1)</f>
        <v/>
      </c>
      <c r="B128" s="11" t="str">
        <f aca="false">IFERROR(INDEX(Overall!$B$2:$B$1000,MATCH("DMF|127",Overall!$I$2:$I$1000,0)),"")</f>
        <v/>
      </c>
      <c r="C128" s="19" t="str">
        <f aca="false">IFERROR(INDEX(Overall!$F$2:$F$1000,MATCH("DMF|127",Overall!$I$2:$I$1000,0)),"")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IF(B129="","",COUNTIFS(Overall!$C$2:$C$1000,"DMF",Overall!$F$2:$F$1000,"&gt;"&amp;C129)+1)</f>
        <v/>
      </c>
      <c r="B129" s="11" t="str">
        <f aca="false">IFERROR(INDEX(Overall!$B$2:$B$1000,MATCH("DMF|128",Overall!$I$2:$I$1000,0)),"")</f>
        <v/>
      </c>
      <c r="C129" s="19" t="str">
        <f aca="false">IFERROR(INDEX(Overall!$F$2:$F$1000,MATCH("DMF|128",Overall!$I$2:$I$1000,0)),"")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IF(B130="","",COUNTIFS(Overall!$C$2:$C$1000,"DMF",Overall!$F$2:$F$1000,"&gt;"&amp;C130)+1)</f>
        <v/>
      </c>
      <c r="B130" s="11" t="str">
        <f aca="false">IFERROR(INDEX(Overall!$B$2:$B$1000,MATCH("DMF|129",Overall!$I$2:$I$1000,0)),"")</f>
        <v/>
      </c>
      <c r="C130" s="19" t="str">
        <f aca="false">IFERROR(INDEX(Overall!$F$2:$F$1000,MATCH("DMF|129",Overall!$I$2:$I$1000,0)),"")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IF(B131="","",COUNTIFS(Overall!$C$2:$C$1000,"DMF",Overall!$F$2:$F$1000,"&gt;"&amp;C131)+1)</f>
        <v/>
      </c>
      <c r="B131" s="11" t="str">
        <f aca="false">IFERROR(INDEX(Overall!$B$2:$B$1000,MATCH("DMF|130",Overall!$I$2:$I$1000,0)),"")</f>
        <v/>
      </c>
      <c r="C131" s="19" t="str">
        <f aca="false">IFERROR(INDEX(Overall!$F$2:$F$1000,MATCH("DMF|130",Overall!$I$2:$I$1000,0)),"")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IF(B132="","",COUNTIFS(Overall!$C$2:$C$1000,"DMF",Overall!$F$2:$F$1000,"&gt;"&amp;C132)+1)</f>
        <v/>
      </c>
      <c r="B132" s="11" t="str">
        <f aca="false">IFERROR(INDEX(Overall!$B$2:$B$1000,MATCH("DMF|131",Overall!$I$2:$I$1000,0)),"")</f>
        <v/>
      </c>
      <c r="C132" s="19" t="str">
        <f aca="false">IFERROR(INDEX(Overall!$F$2:$F$1000,MATCH("DMF|131",Overall!$I$2:$I$1000,0)),"")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IF(B133="","",COUNTIFS(Overall!$C$2:$C$1000,"DMF",Overall!$F$2:$F$1000,"&gt;"&amp;C133)+1)</f>
        <v/>
      </c>
      <c r="B133" s="11" t="str">
        <f aca="false">IFERROR(INDEX(Overall!$B$2:$B$1000,MATCH("DMF|132",Overall!$I$2:$I$1000,0)),"")</f>
        <v/>
      </c>
      <c r="C133" s="19" t="str">
        <f aca="false">IFERROR(INDEX(Overall!$F$2:$F$1000,MATCH("DMF|132",Overall!$I$2:$I$1000,0)),"")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IF(B134="","",COUNTIFS(Overall!$C$2:$C$1000,"DMF",Overall!$F$2:$F$1000,"&gt;"&amp;C134)+1)</f>
        <v/>
      </c>
      <c r="B134" s="11" t="str">
        <f aca="false">IFERROR(INDEX(Overall!$B$2:$B$1000,MATCH("DMF|133",Overall!$I$2:$I$1000,0)),"")</f>
        <v/>
      </c>
      <c r="C134" s="19" t="str">
        <f aca="false">IFERROR(INDEX(Overall!$F$2:$F$1000,MATCH("DMF|133",Overall!$I$2:$I$1000,0)),"")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IF(B135="","",COUNTIFS(Overall!$C$2:$C$1000,"DMF",Overall!$F$2:$F$1000,"&gt;"&amp;C135)+1)</f>
        <v/>
      </c>
      <c r="B135" s="11" t="str">
        <f aca="false">IFERROR(INDEX(Overall!$B$2:$B$1000,MATCH("DMF|134",Overall!$I$2:$I$1000,0)),"")</f>
        <v/>
      </c>
      <c r="C135" s="19" t="str">
        <f aca="false">IFERROR(INDEX(Overall!$F$2:$F$1000,MATCH("DMF|134",Overall!$I$2:$I$1000,0)),"")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IF(B136="","",COUNTIFS(Overall!$C$2:$C$1000,"DMF",Overall!$F$2:$F$1000,"&gt;"&amp;C136)+1)</f>
        <v/>
      </c>
      <c r="B136" s="11" t="str">
        <f aca="false">IFERROR(INDEX(Overall!$B$2:$B$1000,MATCH("DMF|135",Overall!$I$2:$I$1000,0)),"")</f>
        <v/>
      </c>
      <c r="C136" s="19" t="str">
        <f aca="false">IFERROR(INDEX(Overall!$F$2:$F$1000,MATCH("DMF|135",Overall!$I$2:$I$1000,0)),"")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IF(B137="","",COUNTIFS(Overall!$C$2:$C$1000,"DMF",Overall!$F$2:$F$1000,"&gt;"&amp;C137)+1)</f>
        <v/>
      </c>
      <c r="B137" s="11" t="str">
        <f aca="false">IFERROR(INDEX(Overall!$B$2:$B$1000,MATCH("DMF|136",Overall!$I$2:$I$1000,0)),"")</f>
        <v/>
      </c>
      <c r="C137" s="19" t="str">
        <f aca="false">IFERROR(INDEX(Overall!$F$2:$F$1000,MATCH("DMF|136",Overall!$I$2:$I$1000,0)),"")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IF(B138="","",COUNTIFS(Overall!$C$2:$C$1000,"DMF",Overall!$F$2:$F$1000,"&gt;"&amp;C138)+1)</f>
        <v/>
      </c>
      <c r="B138" s="11" t="str">
        <f aca="false">IFERROR(INDEX(Overall!$B$2:$B$1000,MATCH("DMF|137",Overall!$I$2:$I$1000,0)),"")</f>
        <v/>
      </c>
      <c r="C138" s="19" t="str">
        <f aca="false">IFERROR(INDEX(Overall!$F$2:$F$1000,MATCH("DMF|137",Overall!$I$2:$I$1000,0)),"")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IF(B139="","",COUNTIFS(Overall!$C$2:$C$1000,"DMF",Overall!$F$2:$F$1000,"&gt;"&amp;C139)+1)</f>
        <v/>
      </c>
      <c r="B139" s="11" t="str">
        <f aca="false">IFERROR(INDEX(Overall!$B$2:$B$1000,MATCH("DMF|138",Overall!$I$2:$I$1000,0)),"")</f>
        <v/>
      </c>
      <c r="C139" s="19" t="str">
        <f aca="false">IFERROR(INDEX(Overall!$F$2:$F$1000,MATCH("DMF|138",Overall!$I$2:$I$1000,0)),"")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IF(B140="","",COUNTIFS(Overall!$C$2:$C$1000,"DMF",Overall!$F$2:$F$1000,"&gt;"&amp;C140)+1)</f>
        <v/>
      </c>
      <c r="B140" s="11" t="str">
        <f aca="false">IFERROR(INDEX(Overall!$B$2:$B$1000,MATCH("DMF|139",Overall!$I$2:$I$1000,0)),"")</f>
        <v/>
      </c>
      <c r="C140" s="19" t="str">
        <f aca="false">IFERROR(INDEX(Overall!$F$2:$F$1000,MATCH("DMF|139",Overall!$I$2:$I$1000,0)),"")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IF(B141="","",COUNTIFS(Overall!$C$2:$C$1000,"DMF",Overall!$F$2:$F$1000,"&gt;"&amp;C141)+1)</f>
        <v/>
      </c>
      <c r="B141" s="11" t="str">
        <f aca="false">IFERROR(INDEX(Overall!$B$2:$B$1000,MATCH("DMF|140",Overall!$I$2:$I$1000,0)),"")</f>
        <v/>
      </c>
      <c r="C141" s="19" t="str">
        <f aca="false">IFERROR(INDEX(Overall!$F$2:$F$1000,MATCH("DMF|140",Overall!$I$2:$I$1000,0)),"")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IF(B142="","",COUNTIFS(Overall!$C$2:$C$1000,"DMF",Overall!$F$2:$F$1000,"&gt;"&amp;C142)+1)</f>
        <v/>
      </c>
      <c r="B142" s="11" t="str">
        <f aca="false">IFERROR(INDEX(Overall!$B$2:$B$1000,MATCH("DMF|141",Overall!$I$2:$I$1000,0)),"")</f>
        <v/>
      </c>
      <c r="C142" s="19" t="str">
        <f aca="false">IFERROR(INDEX(Overall!$F$2:$F$1000,MATCH("DMF|141",Overall!$I$2:$I$1000,0)),"")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IF(B143="","",COUNTIFS(Overall!$C$2:$C$1000,"DMF",Overall!$F$2:$F$1000,"&gt;"&amp;C143)+1)</f>
        <v/>
      </c>
      <c r="B143" s="11" t="str">
        <f aca="false">IFERROR(INDEX(Overall!$B$2:$B$1000,MATCH("DMF|142",Overall!$I$2:$I$1000,0)),"")</f>
        <v/>
      </c>
      <c r="C143" s="19" t="str">
        <f aca="false">IFERROR(INDEX(Overall!$F$2:$F$1000,MATCH("DMF|142",Overall!$I$2:$I$1000,0)),"")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IF(B144="","",COUNTIFS(Overall!$C$2:$C$1000,"DMF",Overall!$F$2:$F$1000,"&gt;"&amp;C144)+1)</f>
        <v/>
      </c>
      <c r="B144" s="11" t="str">
        <f aca="false">IFERROR(INDEX(Overall!$B$2:$B$1000,MATCH("DMF|143",Overall!$I$2:$I$1000,0)),"")</f>
        <v/>
      </c>
      <c r="C144" s="19" t="str">
        <f aca="false">IFERROR(INDEX(Overall!$F$2:$F$1000,MATCH("DMF|143",Overall!$I$2:$I$1000,0)),"")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IF(B145="","",COUNTIFS(Overall!$C$2:$C$1000,"DMF",Overall!$F$2:$F$1000,"&gt;"&amp;C145)+1)</f>
        <v/>
      </c>
      <c r="B145" s="11" t="str">
        <f aca="false">IFERROR(INDEX(Overall!$B$2:$B$1000,MATCH("DMF|144",Overall!$I$2:$I$1000,0)),"")</f>
        <v/>
      </c>
      <c r="C145" s="19" t="str">
        <f aca="false">IFERROR(INDEX(Overall!$F$2:$F$1000,MATCH("DMF|144",Overall!$I$2:$I$1000,0)),"")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IF(B146="","",COUNTIFS(Overall!$C$2:$C$1000,"DMF",Overall!$F$2:$F$1000,"&gt;"&amp;C146)+1)</f>
        <v/>
      </c>
      <c r="B146" s="11" t="str">
        <f aca="false">IFERROR(INDEX(Overall!$B$2:$B$1000,MATCH("DMF|145",Overall!$I$2:$I$1000,0)),"")</f>
        <v/>
      </c>
      <c r="C146" s="19" t="str">
        <f aca="false">IFERROR(INDEX(Overall!$F$2:$F$1000,MATCH("DMF|145",Overall!$I$2:$I$1000,0)),"")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IF(B147="","",COUNTIFS(Overall!$C$2:$C$1000,"DMF",Overall!$F$2:$F$1000,"&gt;"&amp;C147)+1)</f>
        <v/>
      </c>
      <c r="B147" s="11" t="str">
        <f aca="false">IFERROR(INDEX(Overall!$B$2:$B$1000,MATCH("DMF|146",Overall!$I$2:$I$1000,0)),"")</f>
        <v/>
      </c>
      <c r="C147" s="19" t="str">
        <f aca="false">IFERROR(INDEX(Overall!$F$2:$F$1000,MATCH("DMF|146",Overall!$I$2:$I$1000,0)),"")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IF(B148="","",COUNTIFS(Overall!$C$2:$C$1000,"DMF",Overall!$F$2:$F$1000,"&gt;"&amp;C148)+1)</f>
        <v/>
      </c>
      <c r="B148" s="11" t="str">
        <f aca="false">IFERROR(INDEX(Overall!$B$2:$B$1000,MATCH("DMF|147",Overall!$I$2:$I$1000,0)),"")</f>
        <v/>
      </c>
      <c r="C148" s="19" t="str">
        <f aca="false">IFERROR(INDEX(Overall!$F$2:$F$1000,MATCH("DMF|147",Overall!$I$2:$I$1000,0)),"")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IF(B149="","",COUNTIFS(Overall!$C$2:$C$1000,"DMF",Overall!$F$2:$F$1000,"&gt;"&amp;C149)+1)</f>
        <v/>
      </c>
      <c r="B149" s="11" t="str">
        <f aca="false">IFERROR(INDEX(Overall!$B$2:$B$1000,MATCH("DMF|148",Overall!$I$2:$I$1000,0)),"")</f>
        <v/>
      </c>
      <c r="C149" s="19" t="str">
        <f aca="false">IFERROR(INDEX(Overall!$F$2:$F$1000,MATCH("DMF|148",Overall!$I$2:$I$1000,0)),"")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IF(B150="","",COUNTIFS(Overall!$C$2:$C$1000,"DMF",Overall!$F$2:$F$1000,"&gt;"&amp;C150)+1)</f>
        <v/>
      </c>
      <c r="B150" s="11" t="str">
        <f aca="false">IFERROR(INDEX(Overall!$B$2:$B$1000,MATCH("DMF|149",Overall!$I$2:$I$1000,0)),"")</f>
        <v/>
      </c>
      <c r="C150" s="19" t="str">
        <f aca="false">IFERROR(INDEX(Overall!$F$2:$F$1000,MATCH("DMF|149",Overall!$I$2:$I$1000,0)),"")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IF(B151="","",COUNTIFS(Overall!$C$2:$C$1000,"DMF",Overall!$F$2:$F$1000,"&gt;"&amp;C151)+1)</f>
        <v/>
      </c>
      <c r="B151" s="11" t="str">
        <f aca="false">IFERROR(INDEX(Overall!$B$2:$B$1000,MATCH("DMF|150",Overall!$I$2:$I$1000,0)),"")</f>
        <v/>
      </c>
      <c r="C151" s="19" t="str">
        <f aca="false">IFERROR(INDEX(Overall!$F$2:$F$1000,MATCH("DMF|150",Overall!$I$2:$I$1000,0)),"")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BDD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IF(B2="","",COUNTIFS(Overall!$C$2:$C$1000,"CMF",Overall!$F$2:$F$1000,"&gt;"&amp;C2)+1)</f>
        <v>1</v>
      </c>
      <c r="B2" s="11" t="str">
        <f aca="false">IFERROR(INDEX(Overall!$B$2:$B$1000,MATCH("CMF|1",Overall!$I$2:$I$1000,0)),"")</f>
        <v>Gojo</v>
      </c>
      <c r="C2" s="19" t="n">
        <f aca="false">IFERROR(INDEX(Overall!$F$2:$F$1000,MATCH("CMF|1",Overall!$I$2:$I$1000,0)),"")</f>
        <v>109</v>
      </c>
    </row>
    <row r="3" customFormat="false" ht="15" hidden="false" customHeight="false" outlineLevel="0" collapsed="false">
      <c r="A3" s="22" t="n">
        <f aca="false">IF(B3="","",COUNTIFS(Overall!$C$2:$C$1000,"CMF",Overall!$F$2:$F$1000,"&gt;"&amp;C3)+1)</f>
        <v>1</v>
      </c>
      <c r="B3" s="11" t="str">
        <f aca="false">IFERROR(INDEX(Overall!$B$2:$B$1000,MATCH("CMF|2",Overall!$I$2:$I$1000,0)),"")</f>
        <v>Uchiha itachi</v>
      </c>
      <c r="C3" s="19" t="n">
        <f aca="false">IFERROR(INDEX(Overall!$F$2:$F$1000,MATCH("CMF|2",Overall!$I$2:$I$1000,0)),"")</f>
        <v>109</v>
      </c>
    </row>
    <row r="4" customFormat="false" ht="15" hidden="false" customHeight="false" outlineLevel="0" collapsed="false">
      <c r="A4" s="22" t="n">
        <f aca="false">IF(B4="","",COUNTIFS(Overall!$C$2:$C$1000,"CMF",Overall!$F$2:$F$1000,"&gt;"&amp;C4)+1)</f>
        <v>1</v>
      </c>
      <c r="B4" s="11" t="str">
        <f aca="false">IFERROR(INDEX(Overall!$B$2:$B$1000,MATCH("CMF|3",Overall!$I$2:$I$1000,0)),"")</f>
        <v>Jiren</v>
      </c>
      <c r="C4" s="19" t="n">
        <f aca="false">IFERROR(INDEX(Overall!$F$2:$F$1000,MATCH("CMF|3",Overall!$I$2:$I$1000,0)),"")</f>
        <v>109</v>
      </c>
    </row>
    <row r="5" customFormat="false" ht="15" hidden="false" customHeight="false" outlineLevel="0" collapsed="false">
      <c r="A5" s="22" t="n">
        <f aca="false">IF(B5="","",COUNTIFS(Overall!$C$2:$C$1000,"CMF",Overall!$F$2:$F$1000,"&gt;"&amp;C5)+1)</f>
        <v>4</v>
      </c>
      <c r="B5" s="11" t="str">
        <f aca="false">IFERROR(INDEX(Overall!$B$2:$B$1000,MATCH("CMF|4",Overall!$I$2:$I$1000,0)),"")</f>
        <v>Isaac netero</v>
      </c>
      <c r="C5" s="19" t="n">
        <f aca="false">IFERROR(INDEX(Overall!$F$2:$F$1000,MATCH("CMF|4",Overall!$I$2:$I$1000,0)),"")</f>
        <v>106</v>
      </c>
    </row>
    <row r="6" customFormat="false" ht="15" hidden="false" customHeight="false" outlineLevel="0" collapsed="false">
      <c r="A6" s="22" t="n">
        <f aca="false">IF(B6="","",COUNTIFS(Overall!$C$2:$C$1000,"CMF",Overall!$F$2:$F$1000,"&gt;"&amp;C6)+1)</f>
        <v>5</v>
      </c>
      <c r="B6" s="11" t="str">
        <f aca="false">IFERROR(INDEX(Overall!$B$2:$B$1000,MATCH("CMF|5",Overall!$I$2:$I$1000,0)),"")</f>
        <v>Ruben pog</v>
      </c>
      <c r="C6" s="19" t="n">
        <f aca="false">IFERROR(INDEX(Overall!$F$2:$F$1000,MATCH("CMF|5",Overall!$I$2:$I$1000,0)),"")</f>
        <v>102</v>
      </c>
    </row>
    <row r="7" customFormat="false" ht="15" hidden="false" customHeight="false" outlineLevel="0" collapsed="false">
      <c r="A7" s="22" t="n">
        <f aca="false">IF(B7="","",COUNTIFS(Overall!$C$2:$C$1000,"CMF",Overall!$F$2:$F$1000,"&gt;"&amp;C7)+1)</f>
        <v>6</v>
      </c>
      <c r="B7" s="11" t="str">
        <f aca="false">IFERROR(INDEX(Overall!$B$2:$B$1000,MATCH("CMF|6",Overall!$I$2:$I$1000,0)),"")</f>
        <v>Zoro</v>
      </c>
      <c r="C7" s="19" t="n">
        <f aca="false">IFERROR(INDEX(Overall!$F$2:$F$1000,MATCH("CMF|6",Overall!$I$2:$I$1000,0)),"")</f>
        <v>92</v>
      </c>
    </row>
    <row r="8" customFormat="false" ht="15" hidden="false" customHeight="false" outlineLevel="0" collapsed="false">
      <c r="A8" s="22" t="n">
        <f aca="false">IF(B8="","",COUNTIFS(Overall!$C$2:$C$1000,"CMF",Overall!$F$2:$F$1000,"&gt;"&amp;C8)+1)</f>
        <v>6</v>
      </c>
      <c r="B8" s="11" t="str">
        <f aca="false">IFERROR(INDEX(Overall!$B$2:$B$1000,MATCH("CMF|7",Overall!$I$2:$I$1000,0)),"")</f>
        <v>Giorno Giovanna</v>
      </c>
      <c r="C8" s="19" t="n">
        <f aca="false">IFERROR(INDEX(Overall!$F$2:$F$1000,MATCH("CMF|7",Overall!$I$2:$I$1000,0)),"")</f>
        <v>92</v>
      </c>
    </row>
    <row r="9" customFormat="false" ht="15" hidden="false" customHeight="false" outlineLevel="0" collapsed="false">
      <c r="A9" s="22" t="n">
        <f aca="false">IF(B9="","",COUNTIFS(Overall!$C$2:$C$1000,"CMF",Overall!$F$2:$F$1000,"&gt;"&amp;C9)+1)</f>
        <v>8</v>
      </c>
      <c r="B9" s="11" t="str">
        <f aca="false">IFERROR(INDEX(Overall!$B$2:$B$1000,MATCH("CMF|8",Overall!$I$2:$I$1000,0)),"")</f>
        <v>Kevin Durant</v>
      </c>
      <c r="C9" s="19" t="n">
        <f aca="false">IFERROR(INDEX(Overall!$F$2:$F$1000,MATCH("CMF|8",Overall!$I$2:$I$1000,0)),"")</f>
        <v>91</v>
      </c>
    </row>
    <row r="10" customFormat="false" ht="15" hidden="false" customHeight="false" outlineLevel="0" collapsed="false">
      <c r="A10" s="22" t="n">
        <f aca="false">IF(B10="","",COUNTIFS(Overall!$C$2:$C$1000,"CMF",Overall!$F$2:$F$1000,"&gt;"&amp;C10)+1)</f>
        <v>8</v>
      </c>
      <c r="B10" s="11" t="str">
        <f aca="false">IFERROR(INDEX(Overall!$B$2:$B$1000,MATCH("CMF|9",Overall!$I$2:$I$1000,0)),"")</f>
        <v>Ezeonu</v>
      </c>
      <c r="C10" s="19" t="n">
        <f aca="false">IFERROR(INDEX(Overall!$F$2:$F$1000,MATCH("CMF|9",Overall!$I$2:$I$1000,0)),"")</f>
        <v>91</v>
      </c>
    </row>
    <row r="11" customFormat="false" ht="15" hidden="false" customHeight="false" outlineLevel="0" collapsed="false">
      <c r="A11" s="22" t="n">
        <f aca="false">IF(B11="","",COUNTIFS(Overall!$C$2:$C$1000,"CMF",Overall!$F$2:$F$1000,"&gt;"&amp;C11)+1)</f>
        <v>10</v>
      </c>
      <c r="B11" s="11" t="str">
        <f aca="false">IFERROR(INDEX(Overall!$B$2:$B$1000,MATCH("CMF|10",Overall!$I$2:$I$1000,0)),"")</f>
        <v>Sephirot</v>
      </c>
      <c r="C11" s="19" t="n">
        <f aca="false">IFERROR(INDEX(Overall!$F$2:$F$1000,MATCH("CMF|10",Overall!$I$2:$I$1000,0)),"")</f>
        <v>90</v>
      </c>
    </row>
    <row r="12" customFormat="false" ht="15" hidden="false" customHeight="false" outlineLevel="0" collapsed="false">
      <c r="A12" s="22" t="n">
        <f aca="false">IF(B12="","",COUNTIFS(Overall!$C$2:$C$1000,"CMF",Overall!$F$2:$F$1000,"&gt;"&amp;C12)+1)</f>
        <v>11</v>
      </c>
      <c r="B12" s="11" t="str">
        <f aca="false">IFERROR(INDEX(Overall!$B$2:$B$1000,MATCH("CMF|11",Overall!$I$2:$I$1000,0)),"")</f>
        <v>Josuke higashikata</v>
      </c>
      <c r="C12" s="19" t="n">
        <f aca="false">IFERROR(INDEX(Overall!$F$2:$F$1000,MATCH("CMF|11",Overall!$I$2:$I$1000,0)),"")</f>
        <v>87</v>
      </c>
    </row>
    <row r="13" customFormat="false" ht="15" hidden="false" customHeight="false" outlineLevel="0" collapsed="false">
      <c r="A13" s="22" t="n">
        <f aca="false">IF(B13="","",COUNTIFS(Overall!$C$2:$C$1000,"CMF",Overall!$F$2:$F$1000,"&gt;"&amp;C13)+1)</f>
        <v>11</v>
      </c>
      <c r="B13" s="11" t="str">
        <f aca="false">IFERROR(INDEX(Overall!$B$2:$B$1000,MATCH("CMF|12",Overall!$I$2:$I$1000,0)),"")</f>
        <v>Funky Kong</v>
      </c>
      <c r="C13" s="19" t="n">
        <f aca="false">IFERROR(INDEX(Overall!$F$2:$F$1000,MATCH("CMF|12",Overall!$I$2:$I$1000,0)),"")</f>
        <v>87</v>
      </c>
    </row>
    <row r="14" customFormat="false" ht="15" hidden="false" customHeight="false" outlineLevel="0" collapsed="false">
      <c r="A14" s="22" t="n">
        <f aca="false">IF(B14="","",COUNTIFS(Overall!$C$2:$C$1000,"CMF",Overall!$F$2:$F$1000,"&gt;"&amp;C14)+1)</f>
        <v>13</v>
      </c>
      <c r="B14" s="11" t="str">
        <f aca="false">IFERROR(INDEX(Overall!$B$2:$B$1000,MATCH("CMF|13",Overall!$I$2:$I$1000,0)),"")</f>
        <v>Shingo aoi</v>
      </c>
      <c r="C14" s="19" t="n">
        <f aca="false">IFERROR(INDEX(Overall!$F$2:$F$1000,MATCH("CMF|13",Overall!$I$2:$I$1000,0)),"")</f>
        <v>86</v>
      </c>
    </row>
    <row r="15" customFormat="false" ht="15" hidden="false" customHeight="false" outlineLevel="0" collapsed="false">
      <c r="A15" s="22" t="n">
        <f aca="false">IF(B15="","",COUNTIFS(Overall!$C$2:$C$1000,"CMF",Overall!$F$2:$F$1000,"&gt;"&amp;C15)+1)</f>
        <v>13</v>
      </c>
      <c r="B15" s="11" t="str">
        <f aca="false">IFERROR(INDEX(Overall!$B$2:$B$1000,MATCH("CMF|14",Overall!$I$2:$I$1000,0)),"")</f>
        <v>Totti</v>
      </c>
      <c r="C15" s="19" t="n">
        <f aca="false">IFERROR(INDEX(Overall!$F$2:$F$1000,MATCH("CMF|14",Overall!$I$2:$I$1000,0)),"")</f>
        <v>86</v>
      </c>
    </row>
    <row r="16" customFormat="false" ht="15" hidden="false" customHeight="false" outlineLevel="0" collapsed="false">
      <c r="A16" s="22" t="n">
        <f aca="false">IF(B16="","",COUNTIFS(Overall!$C$2:$C$1000,"CMF",Overall!$F$2:$F$1000,"&gt;"&amp;C16)+1)</f>
        <v>15</v>
      </c>
      <c r="B16" s="11" t="str">
        <f aca="false">IFERROR(INDEX(Overall!$B$2:$B$1000,MATCH("CMF|15",Overall!$I$2:$I$1000,0)),"")</f>
        <v>Yugi muto</v>
      </c>
      <c r="C16" s="19" t="n">
        <f aca="false">IFERROR(INDEX(Overall!$F$2:$F$1000,MATCH("CMF|15",Overall!$I$2:$I$1000,0)),"")</f>
        <v>84</v>
      </c>
    </row>
    <row r="17" customFormat="false" ht="15" hidden="false" customHeight="false" outlineLevel="0" collapsed="false">
      <c r="A17" s="22" t="n">
        <f aca="false">IF(B17="","",COUNTIFS(Overall!$C$2:$C$1000,"CMF",Overall!$F$2:$F$1000,"&gt;"&amp;C17)+1)</f>
        <v>15</v>
      </c>
      <c r="B17" s="11" t="str">
        <f aca="false">IFERROR(INDEX(Overall!$B$2:$B$1000,MATCH("CMF|16",Overall!$I$2:$I$1000,0)),"")</f>
        <v>Poco</v>
      </c>
      <c r="C17" s="19" t="n">
        <f aca="false">IFERROR(INDEX(Overall!$F$2:$F$1000,MATCH("CMF|16",Overall!$I$2:$I$1000,0)),"")</f>
        <v>84</v>
      </c>
    </row>
    <row r="18" customFormat="false" ht="15" hidden="false" customHeight="false" outlineLevel="0" collapsed="false">
      <c r="A18" s="22" t="n">
        <f aca="false">IF(B18="","",COUNTIFS(Overall!$C$2:$C$1000,"CMF",Overall!$F$2:$F$1000,"&gt;"&amp;C18)+1)</f>
        <v>17</v>
      </c>
      <c r="B18" s="11" t="str">
        <f aca="false">IFERROR(INDEX(Overall!$B$2:$B$1000,MATCH("CMF|17",Overall!$I$2:$I$1000,0)),"")</f>
        <v>Pjanic</v>
      </c>
      <c r="C18" s="19" t="n">
        <f aca="false">IFERROR(INDEX(Overall!$F$2:$F$1000,MATCH("CMF|17",Overall!$I$2:$I$1000,0)),"")</f>
        <v>83</v>
      </c>
    </row>
    <row r="19" customFormat="false" ht="15" hidden="false" customHeight="false" outlineLevel="0" collapsed="false">
      <c r="A19" s="22" t="n">
        <f aca="false">IF(B19="","",COUNTIFS(Overall!$C$2:$C$1000,"CMF",Overall!$F$2:$F$1000,"&gt;"&amp;C19)+1)</f>
        <v>17</v>
      </c>
      <c r="B19" s="11" t="str">
        <f aca="false">IFERROR(INDEX(Overall!$B$2:$B$1000,MATCH("CMF|18",Overall!$I$2:$I$1000,0)),"")</f>
        <v>Ironman</v>
      </c>
      <c r="C19" s="19" t="n">
        <f aca="false">IFERROR(INDEX(Overall!$F$2:$F$1000,MATCH("CMF|18",Overall!$I$2:$I$1000,0)),"")</f>
        <v>83</v>
      </c>
    </row>
    <row r="20" customFormat="false" ht="15" hidden="false" customHeight="false" outlineLevel="0" collapsed="false">
      <c r="A20" s="22" t="n">
        <f aca="false">IF(B20="","",COUNTIFS(Overall!$C$2:$C$1000,"CMF",Overall!$F$2:$F$1000,"&gt;"&amp;C20)+1)</f>
        <v>17</v>
      </c>
      <c r="B20" s="11" t="str">
        <f aca="false">IFERROR(INDEX(Overall!$B$2:$B$1000,MATCH("CMF|19",Overall!$I$2:$I$1000,0)),"")</f>
        <v>Robot</v>
      </c>
      <c r="C20" s="19" t="n">
        <f aca="false">IFERROR(INDEX(Overall!$F$2:$F$1000,MATCH("CMF|19",Overall!$I$2:$I$1000,0)),"")</f>
        <v>83</v>
      </c>
    </row>
    <row r="21" customFormat="false" ht="15" hidden="false" customHeight="false" outlineLevel="0" collapsed="false">
      <c r="A21" s="22" t="n">
        <f aca="false">IF(B21="","",COUNTIFS(Overall!$C$2:$C$1000,"CMF",Overall!$F$2:$F$1000,"&gt;"&amp;C21)+1)</f>
        <v>17</v>
      </c>
      <c r="B21" s="11" t="str">
        <f aca="false">IFERROR(INDEX(Overall!$B$2:$B$1000,MATCH("CMF|20",Overall!$I$2:$I$1000,0)),"")</f>
        <v>Light yagami</v>
      </c>
      <c r="C21" s="19" t="n">
        <f aca="false">IFERROR(INDEX(Overall!$F$2:$F$1000,MATCH("CMF|20",Overall!$I$2:$I$1000,0)),"")</f>
        <v>83</v>
      </c>
    </row>
    <row r="22" customFormat="false" ht="15" hidden="false" customHeight="false" outlineLevel="0" collapsed="false">
      <c r="A22" s="22" t="n">
        <f aca="false">IF(B22="","",COUNTIFS(Overall!$C$2:$C$1000,"CMF",Overall!$F$2:$F$1000,"&gt;"&amp;C22)+1)</f>
        <v>21</v>
      </c>
      <c r="B22" s="11" t="str">
        <f aca="false">IFERROR(INDEX(Overall!$B$2:$B$1000,MATCH("CMF|21",Overall!$I$2:$I$1000,0)),"")</f>
        <v>Timon</v>
      </c>
      <c r="C22" s="19" t="n">
        <f aca="false">IFERROR(INDEX(Overall!$F$2:$F$1000,MATCH("CMF|21",Overall!$I$2:$I$1000,0)),"")</f>
        <v>82</v>
      </c>
    </row>
    <row r="23" customFormat="false" ht="15" hidden="false" customHeight="false" outlineLevel="0" collapsed="false">
      <c r="A23" s="22" t="n">
        <f aca="false">IF(B23="","",COUNTIFS(Overall!$C$2:$C$1000,"CMF",Overall!$F$2:$F$1000,"&gt;"&amp;C23)+1)</f>
        <v>22</v>
      </c>
      <c r="B23" s="11" t="str">
        <f aca="false">IFERROR(INDEX(Overall!$B$2:$B$1000,MATCH("CMF|22",Overall!$I$2:$I$1000,0)),"")</f>
        <v>Cydonia</v>
      </c>
      <c r="C23" s="19" t="n">
        <f aca="false">IFERROR(INDEX(Overall!$F$2:$F$1000,MATCH("CMF|22",Overall!$I$2:$I$1000,0)),"")</f>
        <v>81</v>
      </c>
    </row>
    <row r="24" customFormat="false" ht="15" hidden="false" customHeight="false" outlineLevel="0" collapsed="false">
      <c r="A24" s="22" t="n">
        <f aca="false">IF(B24="","",COUNTIFS(Overall!$C$2:$C$1000,"CMF",Overall!$F$2:$F$1000,"&gt;"&amp;C24)+1)</f>
        <v>22</v>
      </c>
      <c r="B24" s="11" t="str">
        <f aca="false">IFERROR(INDEX(Overall!$B$2:$B$1000,MATCH("CMF|23",Overall!$I$2:$I$1000,0)),"")</f>
        <v>Ceasar zeppeli</v>
      </c>
      <c r="C24" s="19" t="n">
        <f aca="false">IFERROR(INDEX(Overall!$F$2:$F$1000,MATCH("CMF|23",Overall!$I$2:$I$1000,0)),"")</f>
        <v>81</v>
      </c>
    </row>
    <row r="25" customFormat="false" ht="15" hidden="false" customHeight="false" outlineLevel="0" collapsed="false">
      <c r="A25" s="22" t="n">
        <f aca="false">IF(B25="","",COUNTIFS(Overall!$C$2:$C$1000,"CMF",Overall!$F$2:$F$1000,"&gt;"&amp;C25)+1)</f>
        <v>22</v>
      </c>
      <c r="B25" s="11" t="str">
        <f aca="false">IFERROR(INDEX(Overall!$B$2:$B$1000,MATCH("CMF|24",Overall!$I$2:$I$1000,0)),"")</f>
        <v>Zarbon</v>
      </c>
      <c r="C25" s="19" t="n">
        <f aca="false">IFERROR(INDEX(Overall!$F$2:$F$1000,MATCH("CMF|24",Overall!$I$2:$I$1000,0)),"")</f>
        <v>81</v>
      </c>
    </row>
    <row r="26" customFormat="false" ht="15" hidden="false" customHeight="false" outlineLevel="0" collapsed="false">
      <c r="A26" s="22" t="n">
        <f aca="false">IF(B26="","",COUNTIFS(Overall!$C$2:$C$1000,"CMF",Overall!$F$2:$F$1000,"&gt;"&amp;C26)+1)</f>
        <v>22</v>
      </c>
      <c r="B26" s="11" t="str">
        <f aca="false">IFERROR(INDEX(Overall!$B$2:$B$1000,MATCH("CMF|25",Overall!$I$2:$I$1000,0)),"")</f>
        <v>Obi wan</v>
      </c>
      <c r="C26" s="19" t="n">
        <f aca="false">IFERROR(INDEX(Overall!$F$2:$F$1000,MATCH("CMF|25",Overall!$I$2:$I$1000,0)),"")</f>
        <v>81</v>
      </c>
    </row>
    <row r="27" customFormat="false" ht="15" hidden="false" customHeight="false" outlineLevel="0" collapsed="false">
      <c r="A27" s="22" t="n">
        <f aca="false">IF(B27="","",COUNTIFS(Overall!$C$2:$C$1000,"CMF",Overall!$F$2:$F$1000,"&gt;"&amp;C27)+1)</f>
        <v>26</v>
      </c>
      <c r="B27" s="11" t="str">
        <f aca="false">IFERROR(INDEX(Overall!$B$2:$B$1000,MATCH("CMF|26",Overall!$I$2:$I$1000,0)),"")</f>
        <v>Shulk</v>
      </c>
      <c r="C27" s="19" t="n">
        <f aca="false">IFERROR(INDEX(Overall!$F$2:$F$1000,MATCH("CMF|26",Overall!$I$2:$I$1000,0)),"")</f>
        <v>80</v>
      </c>
    </row>
    <row r="28" customFormat="false" ht="15" hidden="false" customHeight="false" outlineLevel="0" collapsed="false">
      <c r="A28" s="22" t="n">
        <f aca="false">IF(B28="","",COUNTIFS(Overall!$C$2:$C$1000,"CMF",Overall!$F$2:$F$1000,"&gt;"&amp;C28)+1)</f>
        <v>26</v>
      </c>
      <c r="B28" s="11" t="str">
        <f aca="false">IFERROR(INDEX(Overall!$B$2:$B$1000,MATCH("CMF|27",Overall!$I$2:$I$1000,0)),"")</f>
        <v>Ned Flanders</v>
      </c>
      <c r="C28" s="19" t="n">
        <f aca="false">IFERROR(INDEX(Overall!$F$2:$F$1000,MATCH("CMF|27",Overall!$I$2:$I$1000,0)),"")</f>
        <v>80</v>
      </c>
    </row>
    <row r="29" customFormat="false" ht="15" hidden="false" customHeight="false" outlineLevel="0" collapsed="false">
      <c r="A29" s="22" t="n">
        <f aca="false">IF(B29="","",COUNTIFS(Overall!$C$2:$C$1000,"CMF",Overall!$F$2:$F$1000,"&gt;"&amp;C29)+1)</f>
        <v>26</v>
      </c>
      <c r="B29" s="11" t="str">
        <f aca="false">IFERROR(INDEX(Overall!$B$2:$B$1000,MATCH("CMF|28",Overall!$I$2:$I$1000,0)),"")</f>
        <v>Pidgeot</v>
      </c>
      <c r="C29" s="19" t="n">
        <f aca="false">IFERROR(INDEX(Overall!$F$2:$F$1000,MATCH("CMF|28",Overall!$I$2:$I$1000,0)),"")</f>
        <v>80</v>
      </c>
    </row>
    <row r="30" customFormat="false" ht="15" hidden="false" customHeight="false" outlineLevel="0" collapsed="false">
      <c r="A30" s="22" t="n">
        <f aca="false">IF(B30="","",COUNTIFS(Overall!$C$2:$C$1000,"CMF",Overall!$F$2:$F$1000,"&gt;"&amp;C30)+1)</f>
        <v>29</v>
      </c>
      <c r="B30" s="11" t="str">
        <f aca="false">IFERROR(INDEX(Overall!$B$2:$B$1000,MATCH("CMF|29",Overall!$I$2:$I$1000,0)),"")</f>
        <v>Peach</v>
      </c>
      <c r="C30" s="19" t="n">
        <f aca="false">IFERROR(INDEX(Overall!$F$2:$F$1000,MATCH("CMF|29",Overall!$I$2:$I$1000,0)),"")</f>
        <v>79</v>
      </c>
    </row>
    <row r="31" customFormat="false" ht="15" hidden="false" customHeight="false" outlineLevel="0" collapsed="false">
      <c r="A31" s="22" t="n">
        <f aca="false">IF(B31="","",COUNTIFS(Overall!$C$2:$C$1000,"CMF",Overall!$F$2:$F$1000,"&gt;"&amp;C31)+1)</f>
        <v>29</v>
      </c>
      <c r="B31" s="11" t="str">
        <f aca="false">IFERROR(INDEX(Overall!$B$2:$B$1000,MATCH("CMF|30",Overall!$I$2:$I$1000,0)),"")</f>
        <v>Jessie</v>
      </c>
      <c r="C31" s="19" t="n">
        <f aca="false">IFERROR(INDEX(Overall!$F$2:$F$1000,MATCH("CMF|30",Overall!$I$2:$I$1000,0)),"")</f>
        <v>79</v>
      </c>
    </row>
    <row r="32" customFormat="false" ht="15" hidden="false" customHeight="false" outlineLevel="0" collapsed="false">
      <c r="A32" s="22" t="n">
        <f aca="false">IF(B32="","",COUNTIFS(Overall!$C$2:$C$1000,"CMF",Overall!$F$2:$F$1000,"&gt;"&amp;C32)+1)</f>
        <v>31</v>
      </c>
      <c r="B32" s="11" t="str">
        <f aca="false">IFERROR(INDEX(Overall!$B$2:$B$1000,MATCH("CMF|31",Overall!$I$2:$I$1000,0)),"")</f>
        <v>Daisy</v>
      </c>
      <c r="C32" s="19" t="n">
        <f aca="false">IFERROR(INDEX(Overall!$F$2:$F$1000,MATCH("CMF|31",Overall!$I$2:$I$1000,0)),"")</f>
        <v>78</v>
      </c>
    </row>
    <row r="33" customFormat="false" ht="15" hidden="false" customHeight="false" outlineLevel="0" collapsed="false">
      <c r="A33" s="22" t="n">
        <f aca="false">IF(B33="","",COUNTIFS(Overall!$C$2:$C$1000,"CMF",Overall!$F$2:$F$1000,"&gt;"&amp;C33)+1)</f>
        <v>31</v>
      </c>
      <c r="B33" s="11" t="str">
        <f aca="false">IFERROR(INDEX(Overall!$B$2:$B$1000,MATCH("CMF|32",Overall!$I$2:$I$1000,0)),"")</f>
        <v>R2-D2</v>
      </c>
      <c r="C33" s="19" t="n">
        <f aca="false">IFERROR(INDEX(Overall!$F$2:$F$1000,MATCH("CMF|32",Overall!$I$2:$I$1000,0)),"")</f>
        <v>78</v>
      </c>
    </row>
    <row r="34" customFormat="false" ht="15" hidden="false" customHeight="false" outlineLevel="0" collapsed="false">
      <c r="A34" s="22" t="n">
        <f aca="false">IF(B34="","",COUNTIFS(Overall!$C$2:$C$1000,"CMF",Overall!$F$2:$F$1000,"&gt;"&amp;C34)+1)</f>
        <v>31</v>
      </c>
      <c r="B34" s="11" t="str">
        <f aca="false">IFERROR(INDEX(Overall!$B$2:$B$1000,MATCH("CMF|33",Overall!$I$2:$I$1000,0)),"")</f>
        <v>Tails</v>
      </c>
      <c r="C34" s="19" t="n">
        <f aca="false">IFERROR(INDEX(Overall!$F$2:$F$1000,MATCH("CMF|33",Overall!$I$2:$I$1000,0)),"")</f>
        <v>78</v>
      </c>
    </row>
    <row r="35" customFormat="false" ht="15" hidden="false" customHeight="false" outlineLevel="0" collapsed="false">
      <c r="A35" s="22" t="n">
        <f aca="false">IF(B35="","",COUNTIFS(Overall!$C$2:$C$1000,"CMF",Overall!$F$2:$F$1000,"&gt;"&amp;C35)+1)</f>
        <v>31</v>
      </c>
      <c r="B35" s="11" t="str">
        <f aca="false">IFERROR(INDEX(Overall!$B$2:$B$1000,MATCH("CMF|34",Overall!$I$2:$I$1000,0)),"")</f>
        <v>Mr game&amp;watch</v>
      </c>
      <c r="C35" s="19" t="n">
        <f aca="false">IFERROR(INDEX(Overall!$F$2:$F$1000,MATCH("CMF|34",Overall!$I$2:$I$1000,0)),"")</f>
        <v>78</v>
      </c>
    </row>
    <row r="36" customFormat="false" ht="15" hidden="false" customHeight="false" outlineLevel="0" collapsed="false">
      <c r="A36" s="22" t="n">
        <f aca="false">IF(B36="","",COUNTIFS(Overall!$C$2:$C$1000,"CMF",Overall!$F$2:$F$1000,"&gt;"&amp;C36)+1)</f>
        <v>35</v>
      </c>
      <c r="B36" s="11" t="str">
        <f aca="false">IFERROR(INDEX(Overall!$B$2:$B$1000,MATCH("CMF|35",Overall!$I$2:$I$1000,0)),"")</f>
        <v>Phineas</v>
      </c>
      <c r="C36" s="19" t="n">
        <f aca="false">IFERROR(INDEX(Overall!$F$2:$F$1000,MATCH("CMF|35",Overall!$I$2:$I$1000,0)),"")</f>
        <v>77</v>
      </c>
    </row>
    <row r="37" customFormat="false" ht="15" hidden="false" customHeight="false" outlineLevel="0" collapsed="false">
      <c r="A37" s="22" t="n">
        <f aca="false">IF(B37="","",COUNTIFS(Overall!$C$2:$C$1000,"CMF",Overall!$F$2:$F$1000,"&gt;"&amp;C37)+1)</f>
        <v>35</v>
      </c>
      <c r="B37" s="11" t="str">
        <f aca="false">IFERROR(INDEX(Overall!$B$2:$B$1000,MATCH("CMF|36",Overall!$I$2:$I$1000,0)),"")</f>
        <v>Tim sanders</v>
      </c>
      <c r="C37" s="19" t="n">
        <f aca="false">IFERROR(INDEX(Overall!$F$2:$F$1000,MATCH("CMF|36",Overall!$I$2:$I$1000,0)),"")</f>
        <v>77</v>
      </c>
    </row>
    <row r="38" customFormat="false" ht="15" hidden="false" customHeight="false" outlineLevel="0" collapsed="false">
      <c r="A38" s="22" t="n">
        <f aca="false">IF(B38="","",COUNTIFS(Overall!$C$2:$C$1000,"CMF",Overall!$F$2:$F$1000,"&gt;"&amp;C38)+1)</f>
        <v>37</v>
      </c>
      <c r="B38" s="11" t="str">
        <f aca="false">IFERROR(INDEX(Overall!$B$2:$B$1000,MATCH("CMF|37",Overall!$I$2:$I$1000,0)),"")</f>
        <v>Lil Wayne</v>
      </c>
      <c r="C38" s="19" t="n">
        <f aca="false">IFERROR(INDEX(Overall!$F$2:$F$1000,MATCH("CMF|37",Overall!$I$2:$I$1000,0)),"")</f>
        <v>76</v>
      </c>
    </row>
    <row r="39" customFormat="false" ht="15" hidden="false" customHeight="false" outlineLevel="0" collapsed="false">
      <c r="A39" s="22" t="n">
        <f aca="false">IF(B39="","",COUNTIFS(Overall!$C$2:$C$1000,"CMF",Overall!$F$2:$F$1000,"&gt;"&amp;C39)+1)</f>
        <v>38</v>
      </c>
      <c r="B39" s="11" t="str">
        <f aca="false">IFERROR(INDEX(Overall!$B$2:$B$1000,MATCH("CMF|38",Overall!$I$2:$I$1000,0)),"")</f>
        <v>Guldo</v>
      </c>
      <c r="C39" s="19" t="n">
        <f aca="false">IFERROR(INDEX(Overall!$F$2:$F$1000,MATCH("CMF|38",Overall!$I$2:$I$1000,0)),"")</f>
        <v>72</v>
      </c>
    </row>
    <row r="40" customFormat="false" ht="15" hidden="false" customHeight="false" outlineLevel="0" collapsed="false">
      <c r="A40" s="22" t="str">
        <f aca="false">IF(B40="","",COUNTIFS(Overall!$C$2:$C$1000,"CMF",Overall!$F$2:$F$1000,"&gt;"&amp;C40)+1)</f>
        <v/>
      </c>
      <c r="B40" s="11" t="str">
        <f aca="false">IFERROR(INDEX(Overall!$B$2:$B$1000,MATCH("CMF|39",Overall!$I$2:$I$1000,0)),"")</f>
        <v/>
      </c>
      <c r="C40" s="19" t="str">
        <f aca="false">IFERROR(INDEX(Overall!$F$2:$F$1000,MATCH("CMF|39",Overall!$I$2:$I$1000,0)),"")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IF(B41="","",COUNTIFS(Overall!$C$2:$C$1000,"CMF",Overall!$F$2:$F$1000,"&gt;"&amp;C41)+1)</f>
        <v/>
      </c>
      <c r="B41" s="11" t="str">
        <f aca="false">IFERROR(INDEX(Overall!$B$2:$B$1000,MATCH("CMF|40",Overall!$I$2:$I$1000,0)),"")</f>
        <v/>
      </c>
      <c r="C41" s="19" t="str">
        <f aca="false">IFERROR(INDEX(Overall!$F$2:$F$1000,MATCH("CMF|40",Overall!$I$2:$I$1000,0)),"")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IF(B42="","",COUNTIFS(Overall!$C$2:$C$1000,"CMF",Overall!$F$2:$F$1000,"&gt;"&amp;C42)+1)</f>
        <v/>
      </c>
      <c r="B42" s="11" t="str">
        <f aca="false">IFERROR(INDEX(Overall!$B$2:$B$1000,MATCH("CMF|41",Overall!$I$2:$I$1000,0)),"")</f>
        <v/>
      </c>
      <c r="C42" s="19" t="str">
        <f aca="false">IFERROR(INDEX(Overall!$F$2:$F$1000,MATCH("CMF|41",Overall!$I$2:$I$1000,0)),"")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IF(B43="","",COUNTIFS(Overall!$C$2:$C$1000,"CMF",Overall!$F$2:$F$1000,"&gt;"&amp;C43)+1)</f>
        <v/>
      </c>
      <c r="B43" s="11" t="str">
        <f aca="false">IFERROR(INDEX(Overall!$B$2:$B$1000,MATCH("CMF|42",Overall!$I$2:$I$1000,0)),"")</f>
        <v/>
      </c>
      <c r="C43" s="19" t="str">
        <f aca="false">IFERROR(INDEX(Overall!$F$2:$F$1000,MATCH("CMF|42",Overall!$I$2:$I$1000,0)),"")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IF(B44="","",COUNTIFS(Overall!$C$2:$C$1000,"CMF",Overall!$F$2:$F$1000,"&gt;"&amp;C44)+1)</f>
        <v/>
      </c>
      <c r="B44" s="11" t="str">
        <f aca="false">IFERROR(INDEX(Overall!$B$2:$B$1000,MATCH("CMF|43",Overall!$I$2:$I$1000,0)),"")</f>
        <v/>
      </c>
      <c r="C44" s="19" t="str">
        <f aca="false">IFERROR(INDEX(Overall!$F$2:$F$1000,MATCH("CMF|43",Overall!$I$2:$I$1000,0)),"")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IF(B45="","",COUNTIFS(Overall!$C$2:$C$1000,"CMF",Overall!$F$2:$F$1000,"&gt;"&amp;C45)+1)</f>
        <v/>
      </c>
      <c r="B45" s="11" t="str">
        <f aca="false">IFERROR(INDEX(Overall!$B$2:$B$1000,MATCH("CMF|44",Overall!$I$2:$I$1000,0)),"")</f>
        <v/>
      </c>
      <c r="C45" s="19" t="str">
        <f aca="false">IFERROR(INDEX(Overall!$F$2:$F$1000,MATCH("CMF|44",Overall!$I$2:$I$1000,0)),"")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IF(B46="","",COUNTIFS(Overall!$C$2:$C$1000,"CMF",Overall!$F$2:$F$1000,"&gt;"&amp;C46)+1)</f>
        <v/>
      </c>
      <c r="B46" s="11" t="str">
        <f aca="false">IFERROR(INDEX(Overall!$B$2:$B$1000,MATCH("CMF|45",Overall!$I$2:$I$1000,0)),"")</f>
        <v/>
      </c>
      <c r="C46" s="19" t="str">
        <f aca="false">IFERROR(INDEX(Overall!$F$2:$F$1000,MATCH("CMF|45",Overall!$I$2:$I$1000,0)),"")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IF(B47="","",COUNTIFS(Overall!$C$2:$C$1000,"CMF",Overall!$F$2:$F$1000,"&gt;"&amp;C47)+1)</f>
        <v/>
      </c>
      <c r="B47" s="11" t="str">
        <f aca="false">IFERROR(INDEX(Overall!$B$2:$B$1000,MATCH("CMF|46",Overall!$I$2:$I$1000,0)),"")</f>
        <v/>
      </c>
      <c r="C47" s="19" t="str">
        <f aca="false">IFERROR(INDEX(Overall!$F$2:$F$1000,MATCH("CMF|46",Overall!$I$2:$I$1000,0)),"")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IF(B48="","",COUNTIFS(Overall!$C$2:$C$1000,"CMF",Overall!$F$2:$F$1000,"&gt;"&amp;C48)+1)</f>
        <v/>
      </c>
      <c r="B48" s="11" t="str">
        <f aca="false">IFERROR(INDEX(Overall!$B$2:$B$1000,MATCH("CMF|47",Overall!$I$2:$I$1000,0)),"")</f>
        <v/>
      </c>
      <c r="C48" s="19" t="str">
        <f aca="false">IFERROR(INDEX(Overall!$F$2:$F$1000,MATCH("CMF|47",Overall!$I$2:$I$1000,0)),"")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IF(B49="","",COUNTIFS(Overall!$C$2:$C$1000,"CMF",Overall!$F$2:$F$1000,"&gt;"&amp;C49)+1)</f>
        <v/>
      </c>
      <c r="B49" s="11" t="str">
        <f aca="false">IFERROR(INDEX(Overall!$B$2:$B$1000,MATCH("CMF|48",Overall!$I$2:$I$1000,0)),"")</f>
        <v/>
      </c>
      <c r="C49" s="19" t="str">
        <f aca="false">IFERROR(INDEX(Overall!$F$2:$F$1000,MATCH("CMF|48",Overall!$I$2:$I$1000,0)),"")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IF(B50="","",COUNTIFS(Overall!$C$2:$C$1000,"CMF",Overall!$F$2:$F$1000,"&gt;"&amp;C50)+1)</f>
        <v/>
      </c>
      <c r="B50" s="11" t="str">
        <f aca="false">IFERROR(INDEX(Overall!$B$2:$B$1000,MATCH("CMF|49",Overall!$I$2:$I$1000,0)),"")</f>
        <v/>
      </c>
      <c r="C50" s="19" t="str">
        <f aca="false">IFERROR(INDEX(Overall!$F$2:$F$1000,MATCH("CMF|49",Overall!$I$2:$I$1000,0)),"")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IF(B51="","",COUNTIFS(Overall!$C$2:$C$1000,"CMF",Overall!$F$2:$F$1000,"&gt;"&amp;C51)+1)</f>
        <v/>
      </c>
      <c r="B51" s="11" t="str">
        <f aca="false">IFERROR(INDEX(Overall!$B$2:$B$1000,MATCH("CMF|50",Overall!$I$2:$I$1000,0)),"")</f>
        <v/>
      </c>
      <c r="C51" s="19" t="str">
        <f aca="false">IFERROR(INDEX(Overall!$F$2:$F$1000,MATCH("CMF|50",Overall!$I$2:$I$1000,0)),"")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IF(B52="","",COUNTIFS(Overall!$C$2:$C$1000,"CMF",Overall!$F$2:$F$1000,"&gt;"&amp;C52)+1)</f>
        <v/>
      </c>
      <c r="B52" s="11" t="str">
        <f aca="false">IFERROR(INDEX(Overall!$B$2:$B$1000,MATCH("CMF|51",Overall!$I$2:$I$1000,0)),"")</f>
        <v/>
      </c>
      <c r="C52" s="19" t="str">
        <f aca="false">IFERROR(INDEX(Overall!$F$2:$F$1000,MATCH("CMF|51",Overall!$I$2:$I$1000,0)),"")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IF(B53="","",COUNTIFS(Overall!$C$2:$C$1000,"CMF",Overall!$F$2:$F$1000,"&gt;"&amp;C53)+1)</f>
        <v/>
      </c>
      <c r="B53" s="11" t="str">
        <f aca="false">IFERROR(INDEX(Overall!$B$2:$B$1000,MATCH("CMF|52",Overall!$I$2:$I$1000,0)),"")</f>
        <v/>
      </c>
      <c r="C53" s="19" t="str">
        <f aca="false">IFERROR(INDEX(Overall!$F$2:$F$1000,MATCH("CMF|52",Overall!$I$2:$I$1000,0)),"")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IF(B54="","",COUNTIFS(Overall!$C$2:$C$1000,"CMF",Overall!$F$2:$F$1000,"&gt;"&amp;C54)+1)</f>
        <v/>
      </c>
      <c r="B54" s="11" t="str">
        <f aca="false">IFERROR(INDEX(Overall!$B$2:$B$1000,MATCH("CMF|53",Overall!$I$2:$I$1000,0)),"")</f>
        <v/>
      </c>
      <c r="C54" s="19" t="str">
        <f aca="false">IFERROR(INDEX(Overall!$F$2:$F$1000,MATCH("CMF|53",Overall!$I$2:$I$1000,0)),"")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IF(B55="","",COUNTIFS(Overall!$C$2:$C$1000,"CMF",Overall!$F$2:$F$1000,"&gt;"&amp;C55)+1)</f>
        <v/>
      </c>
      <c r="B55" s="11" t="str">
        <f aca="false">IFERROR(INDEX(Overall!$B$2:$B$1000,MATCH("CMF|54",Overall!$I$2:$I$1000,0)),"")</f>
        <v/>
      </c>
      <c r="C55" s="19" t="str">
        <f aca="false">IFERROR(INDEX(Overall!$F$2:$F$1000,MATCH("CMF|54",Overall!$I$2:$I$1000,0)),"")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IF(B56="","",COUNTIFS(Overall!$C$2:$C$1000,"CMF",Overall!$F$2:$F$1000,"&gt;"&amp;C56)+1)</f>
        <v/>
      </c>
      <c r="B56" s="11" t="str">
        <f aca="false">IFERROR(INDEX(Overall!$B$2:$B$1000,MATCH("CMF|55",Overall!$I$2:$I$1000,0)),"")</f>
        <v/>
      </c>
      <c r="C56" s="19" t="str">
        <f aca="false">IFERROR(INDEX(Overall!$F$2:$F$1000,MATCH("CMF|55",Overall!$I$2:$I$1000,0)),"")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IF(B57="","",COUNTIFS(Overall!$C$2:$C$1000,"CMF",Overall!$F$2:$F$1000,"&gt;"&amp;C57)+1)</f>
        <v/>
      </c>
      <c r="B57" s="11" t="str">
        <f aca="false">IFERROR(INDEX(Overall!$B$2:$B$1000,MATCH("CMF|56",Overall!$I$2:$I$1000,0)),"")</f>
        <v/>
      </c>
      <c r="C57" s="19" t="str">
        <f aca="false">IFERROR(INDEX(Overall!$F$2:$F$1000,MATCH("CMF|56",Overall!$I$2:$I$1000,0)),"")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IF(B58="","",COUNTIFS(Overall!$C$2:$C$1000,"CMF",Overall!$F$2:$F$1000,"&gt;"&amp;C58)+1)</f>
        <v/>
      </c>
      <c r="B58" s="11" t="str">
        <f aca="false">IFERROR(INDEX(Overall!$B$2:$B$1000,MATCH("CMF|57",Overall!$I$2:$I$1000,0)),"")</f>
        <v/>
      </c>
      <c r="C58" s="19" t="str">
        <f aca="false">IFERROR(INDEX(Overall!$F$2:$F$1000,MATCH("CMF|57",Overall!$I$2:$I$1000,0)),"")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IF(B59="","",COUNTIFS(Overall!$C$2:$C$1000,"CMF",Overall!$F$2:$F$1000,"&gt;"&amp;C59)+1)</f>
        <v/>
      </c>
      <c r="B59" s="11" t="str">
        <f aca="false">IFERROR(INDEX(Overall!$B$2:$B$1000,MATCH("CMF|58",Overall!$I$2:$I$1000,0)),"")</f>
        <v/>
      </c>
      <c r="C59" s="19" t="str">
        <f aca="false">IFERROR(INDEX(Overall!$F$2:$F$1000,MATCH("CMF|58",Overall!$I$2:$I$1000,0)),"")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IF(B60="","",COUNTIFS(Overall!$C$2:$C$1000,"CMF",Overall!$F$2:$F$1000,"&gt;"&amp;C60)+1)</f>
        <v/>
      </c>
      <c r="B60" s="11" t="str">
        <f aca="false">IFERROR(INDEX(Overall!$B$2:$B$1000,MATCH("CMF|59",Overall!$I$2:$I$1000,0)),"")</f>
        <v/>
      </c>
      <c r="C60" s="19" t="str">
        <f aca="false">IFERROR(INDEX(Overall!$F$2:$F$1000,MATCH("CMF|59",Overall!$I$2:$I$1000,0)),"")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IF(B61="","",COUNTIFS(Overall!$C$2:$C$1000,"CMF",Overall!$F$2:$F$1000,"&gt;"&amp;C61)+1)</f>
        <v/>
      </c>
      <c r="B61" s="11" t="str">
        <f aca="false">IFERROR(INDEX(Overall!$B$2:$B$1000,MATCH("CMF|60",Overall!$I$2:$I$1000,0)),"")</f>
        <v/>
      </c>
      <c r="C61" s="19" t="str">
        <f aca="false">IFERROR(INDEX(Overall!$F$2:$F$1000,MATCH("CMF|60",Overall!$I$2:$I$1000,0)),"")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IF(B62="","",COUNTIFS(Overall!$C$2:$C$1000,"CMF",Overall!$F$2:$F$1000,"&gt;"&amp;C62)+1)</f>
        <v/>
      </c>
      <c r="B62" s="11" t="str">
        <f aca="false">IFERROR(INDEX(Overall!$B$2:$B$1000,MATCH("CMF|61",Overall!$I$2:$I$1000,0)),"")</f>
        <v/>
      </c>
      <c r="C62" s="19" t="str">
        <f aca="false">IFERROR(INDEX(Overall!$F$2:$F$1000,MATCH("CMF|61",Overall!$I$2:$I$1000,0)),"")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IF(B63="","",COUNTIFS(Overall!$C$2:$C$1000,"CMF",Overall!$F$2:$F$1000,"&gt;"&amp;C63)+1)</f>
        <v/>
      </c>
      <c r="B63" s="11" t="str">
        <f aca="false">IFERROR(INDEX(Overall!$B$2:$B$1000,MATCH("CMF|62",Overall!$I$2:$I$1000,0)),"")</f>
        <v/>
      </c>
      <c r="C63" s="19" t="str">
        <f aca="false">IFERROR(INDEX(Overall!$F$2:$F$1000,MATCH("CMF|62",Overall!$I$2:$I$1000,0)),"")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IF(B64="","",COUNTIFS(Overall!$C$2:$C$1000,"CMF",Overall!$F$2:$F$1000,"&gt;"&amp;C64)+1)</f>
        <v/>
      </c>
      <c r="B64" s="11" t="str">
        <f aca="false">IFERROR(INDEX(Overall!$B$2:$B$1000,MATCH("CMF|63",Overall!$I$2:$I$1000,0)),"")</f>
        <v/>
      </c>
      <c r="C64" s="19" t="str">
        <f aca="false">IFERROR(INDEX(Overall!$F$2:$F$1000,MATCH("CMF|63",Overall!$I$2:$I$1000,0)),"")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IF(B65="","",COUNTIFS(Overall!$C$2:$C$1000,"CMF",Overall!$F$2:$F$1000,"&gt;"&amp;C65)+1)</f>
        <v/>
      </c>
      <c r="B65" s="11" t="str">
        <f aca="false">IFERROR(INDEX(Overall!$B$2:$B$1000,MATCH("CMF|64",Overall!$I$2:$I$1000,0)),"")</f>
        <v/>
      </c>
      <c r="C65" s="19" t="str">
        <f aca="false">IFERROR(INDEX(Overall!$F$2:$F$1000,MATCH("CMF|64",Overall!$I$2:$I$1000,0)),"")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IF(B66="","",COUNTIFS(Overall!$C$2:$C$1000,"CMF",Overall!$F$2:$F$1000,"&gt;"&amp;C66)+1)</f>
        <v/>
      </c>
      <c r="B66" s="11" t="str">
        <f aca="false">IFERROR(INDEX(Overall!$B$2:$B$1000,MATCH("CMF|65",Overall!$I$2:$I$1000,0)),"")</f>
        <v/>
      </c>
      <c r="C66" s="19" t="str">
        <f aca="false">IFERROR(INDEX(Overall!$F$2:$F$1000,MATCH("CMF|65",Overall!$I$2:$I$1000,0)),"")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IF(B67="","",COUNTIFS(Overall!$C$2:$C$1000,"CMF",Overall!$F$2:$F$1000,"&gt;"&amp;C67)+1)</f>
        <v/>
      </c>
      <c r="B67" s="11" t="str">
        <f aca="false">IFERROR(INDEX(Overall!$B$2:$B$1000,MATCH("CMF|66",Overall!$I$2:$I$1000,0)),"")</f>
        <v/>
      </c>
      <c r="C67" s="19" t="str">
        <f aca="false">IFERROR(INDEX(Overall!$F$2:$F$1000,MATCH("CMF|66",Overall!$I$2:$I$1000,0)),"")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IF(B68="","",COUNTIFS(Overall!$C$2:$C$1000,"CMF",Overall!$F$2:$F$1000,"&gt;"&amp;C68)+1)</f>
        <v/>
      </c>
      <c r="B68" s="11" t="str">
        <f aca="false">IFERROR(INDEX(Overall!$B$2:$B$1000,MATCH("CMF|67",Overall!$I$2:$I$1000,0)),"")</f>
        <v/>
      </c>
      <c r="C68" s="19" t="str">
        <f aca="false">IFERROR(INDEX(Overall!$F$2:$F$1000,MATCH("CMF|67",Overall!$I$2:$I$1000,0)),"")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IF(B69="","",COUNTIFS(Overall!$C$2:$C$1000,"CMF",Overall!$F$2:$F$1000,"&gt;"&amp;C69)+1)</f>
        <v/>
      </c>
      <c r="B69" s="11" t="str">
        <f aca="false">IFERROR(INDEX(Overall!$B$2:$B$1000,MATCH("CMF|68",Overall!$I$2:$I$1000,0)),"")</f>
        <v/>
      </c>
      <c r="C69" s="19" t="str">
        <f aca="false">IFERROR(INDEX(Overall!$F$2:$F$1000,MATCH("CMF|68",Overall!$I$2:$I$1000,0)),"")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IF(B70="","",COUNTIFS(Overall!$C$2:$C$1000,"CMF",Overall!$F$2:$F$1000,"&gt;"&amp;C70)+1)</f>
        <v/>
      </c>
      <c r="B70" s="11" t="str">
        <f aca="false">IFERROR(INDEX(Overall!$B$2:$B$1000,MATCH("CMF|69",Overall!$I$2:$I$1000,0)),"")</f>
        <v/>
      </c>
      <c r="C70" s="19" t="str">
        <f aca="false">IFERROR(INDEX(Overall!$F$2:$F$1000,MATCH("CMF|69",Overall!$I$2:$I$1000,0)),"")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IF(B71="","",COUNTIFS(Overall!$C$2:$C$1000,"CMF",Overall!$F$2:$F$1000,"&gt;"&amp;C71)+1)</f>
        <v/>
      </c>
      <c r="B71" s="11" t="str">
        <f aca="false">IFERROR(INDEX(Overall!$B$2:$B$1000,MATCH("CMF|70",Overall!$I$2:$I$1000,0)),"")</f>
        <v/>
      </c>
      <c r="C71" s="19" t="str">
        <f aca="false">IFERROR(INDEX(Overall!$F$2:$F$1000,MATCH("CMF|70",Overall!$I$2:$I$1000,0)),"")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IF(B72="","",COUNTIFS(Overall!$C$2:$C$1000,"CMF",Overall!$F$2:$F$1000,"&gt;"&amp;C72)+1)</f>
        <v/>
      </c>
      <c r="B72" s="11" t="str">
        <f aca="false">IFERROR(INDEX(Overall!$B$2:$B$1000,MATCH("CMF|71",Overall!$I$2:$I$1000,0)),"")</f>
        <v/>
      </c>
      <c r="C72" s="19" t="str">
        <f aca="false">IFERROR(INDEX(Overall!$F$2:$F$1000,MATCH("CMF|71",Overall!$I$2:$I$1000,0)),"")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IF(B73="","",COUNTIFS(Overall!$C$2:$C$1000,"CMF",Overall!$F$2:$F$1000,"&gt;"&amp;C73)+1)</f>
        <v/>
      </c>
      <c r="B73" s="11" t="str">
        <f aca="false">IFERROR(INDEX(Overall!$B$2:$B$1000,MATCH("CMF|72",Overall!$I$2:$I$1000,0)),"")</f>
        <v/>
      </c>
      <c r="C73" s="19" t="str">
        <f aca="false">IFERROR(INDEX(Overall!$F$2:$F$1000,MATCH("CMF|72",Overall!$I$2:$I$1000,0)),"")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IF(B74="","",COUNTIFS(Overall!$C$2:$C$1000,"CMF",Overall!$F$2:$F$1000,"&gt;"&amp;C74)+1)</f>
        <v/>
      </c>
      <c r="B74" s="11" t="str">
        <f aca="false">IFERROR(INDEX(Overall!$B$2:$B$1000,MATCH("CMF|73",Overall!$I$2:$I$1000,0)),"")</f>
        <v/>
      </c>
      <c r="C74" s="19" t="str">
        <f aca="false">IFERROR(INDEX(Overall!$F$2:$F$1000,MATCH("CMF|73",Overall!$I$2:$I$1000,0)),"")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IF(B75="","",COUNTIFS(Overall!$C$2:$C$1000,"CMF",Overall!$F$2:$F$1000,"&gt;"&amp;C75)+1)</f>
        <v/>
      </c>
      <c r="B75" s="11" t="str">
        <f aca="false">IFERROR(INDEX(Overall!$B$2:$B$1000,MATCH("CMF|74",Overall!$I$2:$I$1000,0)),"")</f>
        <v/>
      </c>
      <c r="C75" s="19" t="str">
        <f aca="false">IFERROR(INDEX(Overall!$F$2:$F$1000,MATCH("CMF|74",Overall!$I$2:$I$1000,0)),"")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IF(B76="","",COUNTIFS(Overall!$C$2:$C$1000,"CMF",Overall!$F$2:$F$1000,"&gt;"&amp;C76)+1)</f>
        <v/>
      </c>
      <c r="B76" s="11" t="str">
        <f aca="false">IFERROR(INDEX(Overall!$B$2:$B$1000,MATCH("CMF|75",Overall!$I$2:$I$1000,0)),"")</f>
        <v/>
      </c>
      <c r="C76" s="19" t="str">
        <f aca="false">IFERROR(INDEX(Overall!$F$2:$F$1000,MATCH("CMF|75",Overall!$I$2:$I$1000,0)),"")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IF(B77="","",COUNTIFS(Overall!$C$2:$C$1000,"CMF",Overall!$F$2:$F$1000,"&gt;"&amp;C77)+1)</f>
        <v/>
      </c>
      <c r="B77" s="11" t="str">
        <f aca="false">IFERROR(INDEX(Overall!$B$2:$B$1000,MATCH("CMF|76",Overall!$I$2:$I$1000,0)),"")</f>
        <v/>
      </c>
      <c r="C77" s="19" t="str">
        <f aca="false">IFERROR(INDEX(Overall!$F$2:$F$1000,MATCH("CMF|76",Overall!$I$2:$I$1000,0)),"")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IF(B78="","",COUNTIFS(Overall!$C$2:$C$1000,"CMF",Overall!$F$2:$F$1000,"&gt;"&amp;C78)+1)</f>
        <v/>
      </c>
      <c r="B78" s="11" t="str">
        <f aca="false">IFERROR(INDEX(Overall!$B$2:$B$1000,MATCH("CMF|77",Overall!$I$2:$I$1000,0)),"")</f>
        <v/>
      </c>
      <c r="C78" s="19" t="str">
        <f aca="false">IFERROR(INDEX(Overall!$F$2:$F$1000,MATCH("CMF|77",Overall!$I$2:$I$1000,0)),"")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IF(B79="","",COUNTIFS(Overall!$C$2:$C$1000,"CMF",Overall!$F$2:$F$1000,"&gt;"&amp;C79)+1)</f>
        <v/>
      </c>
      <c r="B79" s="11" t="str">
        <f aca="false">IFERROR(INDEX(Overall!$B$2:$B$1000,MATCH("CMF|78",Overall!$I$2:$I$1000,0)),"")</f>
        <v/>
      </c>
      <c r="C79" s="19" t="str">
        <f aca="false">IFERROR(INDEX(Overall!$F$2:$F$1000,MATCH("CMF|78",Overall!$I$2:$I$1000,0)),"")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IF(B80="","",COUNTIFS(Overall!$C$2:$C$1000,"CMF",Overall!$F$2:$F$1000,"&gt;"&amp;C80)+1)</f>
        <v/>
      </c>
      <c r="B80" s="11" t="str">
        <f aca="false">IFERROR(INDEX(Overall!$B$2:$B$1000,MATCH("CMF|79",Overall!$I$2:$I$1000,0)),"")</f>
        <v/>
      </c>
      <c r="C80" s="19" t="str">
        <f aca="false">IFERROR(INDEX(Overall!$F$2:$F$1000,MATCH("CMF|79",Overall!$I$2:$I$1000,0)),"")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IF(B81="","",COUNTIFS(Overall!$C$2:$C$1000,"CMF",Overall!$F$2:$F$1000,"&gt;"&amp;C81)+1)</f>
        <v/>
      </c>
      <c r="B81" s="11" t="str">
        <f aca="false">IFERROR(INDEX(Overall!$B$2:$B$1000,MATCH("CMF|80",Overall!$I$2:$I$1000,0)),"")</f>
        <v/>
      </c>
      <c r="C81" s="19" t="str">
        <f aca="false">IFERROR(INDEX(Overall!$F$2:$F$1000,MATCH("CMF|80",Overall!$I$2:$I$1000,0)),"")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IF(B82="","",COUNTIFS(Overall!$C$2:$C$1000,"CMF",Overall!$F$2:$F$1000,"&gt;"&amp;C82)+1)</f>
        <v/>
      </c>
      <c r="B82" s="11" t="str">
        <f aca="false">IFERROR(INDEX(Overall!$B$2:$B$1000,MATCH("CMF|81",Overall!$I$2:$I$1000,0)),"")</f>
        <v/>
      </c>
      <c r="C82" s="19" t="str">
        <f aca="false">IFERROR(INDEX(Overall!$F$2:$F$1000,MATCH("CMF|81",Overall!$I$2:$I$1000,0)),"")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IF(B83="","",COUNTIFS(Overall!$C$2:$C$1000,"CMF",Overall!$F$2:$F$1000,"&gt;"&amp;C83)+1)</f>
        <v/>
      </c>
      <c r="B83" s="11" t="str">
        <f aca="false">IFERROR(INDEX(Overall!$B$2:$B$1000,MATCH("CMF|82",Overall!$I$2:$I$1000,0)),"")</f>
        <v/>
      </c>
      <c r="C83" s="19" t="str">
        <f aca="false">IFERROR(INDEX(Overall!$F$2:$F$1000,MATCH("CMF|82",Overall!$I$2:$I$1000,0)),"")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IF(B84="","",COUNTIFS(Overall!$C$2:$C$1000,"CMF",Overall!$F$2:$F$1000,"&gt;"&amp;C84)+1)</f>
        <v/>
      </c>
      <c r="B84" s="11" t="str">
        <f aca="false">IFERROR(INDEX(Overall!$B$2:$B$1000,MATCH("CMF|83",Overall!$I$2:$I$1000,0)),"")</f>
        <v/>
      </c>
      <c r="C84" s="19" t="str">
        <f aca="false">IFERROR(INDEX(Overall!$F$2:$F$1000,MATCH("CMF|83",Overall!$I$2:$I$1000,0)),"")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IF(B85="","",COUNTIFS(Overall!$C$2:$C$1000,"CMF",Overall!$F$2:$F$1000,"&gt;"&amp;C85)+1)</f>
        <v/>
      </c>
      <c r="B85" s="11" t="str">
        <f aca="false">IFERROR(INDEX(Overall!$B$2:$B$1000,MATCH("CMF|84",Overall!$I$2:$I$1000,0)),"")</f>
        <v/>
      </c>
      <c r="C85" s="19" t="str">
        <f aca="false">IFERROR(INDEX(Overall!$F$2:$F$1000,MATCH("CMF|84",Overall!$I$2:$I$1000,0)),"")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IF(B86="","",COUNTIFS(Overall!$C$2:$C$1000,"CMF",Overall!$F$2:$F$1000,"&gt;"&amp;C86)+1)</f>
        <v/>
      </c>
      <c r="B86" s="11" t="str">
        <f aca="false">IFERROR(INDEX(Overall!$B$2:$B$1000,MATCH("CMF|85",Overall!$I$2:$I$1000,0)),"")</f>
        <v/>
      </c>
      <c r="C86" s="19" t="str">
        <f aca="false">IFERROR(INDEX(Overall!$F$2:$F$1000,MATCH("CMF|85",Overall!$I$2:$I$1000,0)),"")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IF(B87="","",COUNTIFS(Overall!$C$2:$C$1000,"CMF",Overall!$F$2:$F$1000,"&gt;"&amp;C87)+1)</f>
        <v/>
      </c>
      <c r="B87" s="11" t="str">
        <f aca="false">IFERROR(INDEX(Overall!$B$2:$B$1000,MATCH("CMF|86",Overall!$I$2:$I$1000,0)),"")</f>
        <v/>
      </c>
      <c r="C87" s="19" t="str">
        <f aca="false">IFERROR(INDEX(Overall!$F$2:$F$1000,MATCH("CMF|86",Overall!$I$2:$I$1000,0)),"")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IF(B88="","",COUNTIFS(Overall!$C$2:$C$1000,"CMF",Overall!$F$2:$F$1000,"&gt;"&amp;C88)+1)</f>
        <v/>
      </c>
      <c r="B88" s="11" t="str">
        <f aca="false">IFERROR(INDEX(Overall!$B$2:$B$1000,MATCH("CMF|87",Overall!$I$2:$I$1000,0)),"")</f>
        <v/>
      </c>
      <c r="C88" s="19" t="str">
        <f aca="false">IFERROR(INDEX(Overall!$F$2:$F$1000,MATCH("CMF|87",Overall!$I$2:$I$1000,0)),"")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IF(B89="","",COUNTIFS(Overall!$C$2:$C$1000,"CMF",Overall!$F$2:$F$1000,"&gt;"&amp;C89)+1)</f>
        <v/>
      </c>
      <c r="B89" s="11" t="str">
        <f aca="false">IFERROR(INDEX(Overall!$B$2:$B$1000,MATCH("CMF|88",Overall!$I$2:$I$1000,0)),"")</f>
        <v/>
      </c>
      <c r="C89" s="19" t="str">
        <f aca="false">IFERROR(INDEX(Overall!$F$2:$F$1000,MATCH("CMF|88",Overall!$I$2:$I$1000,0)),"")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IF(B90="","",COUNTIFS(Overall!$C$2:$C$1000,"CMF",Overall!$F$2:$F$1000,"&gt;"&amp;C90)+1)</f>
        <v/>
      </c>
      <c r="B90" s="11" t="str">
        <f aca="false">IFERROR(INDEX(Overall!$B$2:$B$1000,MATCH("CMF|89",Overall!$I$2:$I$1000,0)),"")</f>
        <v/>
      </c>
      <c r="C90" s="19" t="str">
        <f aca="false">IFERROR(INDEX(Overall!$F$2:$F$1000,MATCH("CMF|89",Overall!$I$2:$I$1000,0)),"")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IF(B91="","",COUNTIFS(Overall!$C$2:$C$1000,"CMF",Overall!$F$2:$F$1000,"&gt;"&amp;C91)+1)</f>
        <v/>
      </c>
      <c r="B91" s="11" t="str">
        <f aca="false">IFERROR(INDEX(Overall!$B$2:$B$1000,MATCH("CMF|90",Overall!$I$2:$I$1000,0)),"")</f>
        <v/>
      </c>
      <c r="C91" s="19" t="str">
        <f aca="false">IFERROR(INDEX(Overall!$F$2:$F$1000,MATCH("CMF|90",Overall!$I$2:$I$1000,0)),"")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IF(B92="","",COUNTIFS(Overall!$C$2:$C$1000,"CMF",Overall!$F$2:$F$1000,"&gt;"&amp;C92)+1)</f>
        <v/>
      </c>
      <c r="B92" s="11" t="str">
        <f aca="false">IFERROR(INDEX(Overall!$B$2:$B$1000,MATCH("CMF|91",Overall!$I$2:$I$1000,0)),"")</f>
        <v/>
      </c>
      <c r="C92" s="19" t="str">
        <f aca="false">IFERROR(INDEX(Overall!$F$2:$F$1000,MATCH("CMF|91",Overall!$I$2:$I$1000,0)),"")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IF(B93="","",COUNTIFS(Overall!$C$2:$C$1000,"CMF",Overall!$F$2:$F$1000,"&gt;"&amp;C93)+1)</f>
        <v/>
      </c>
      <c r="B93" s="11" t="str">
        <f aca="false">IFERROR(INDEX(Overall!$B$2:$B$1000,MATCH("CMF|92",Overall!$I$2:$I$1000,0)),"")</f>
        <v/>
      </c>
      <c r="C93" s="19" t="str">
        <f aca="false">IFERROR(INDEX(Overall!$F$2:$F$1000,MATCH("CMF|92",Overall!$I$2:$I$1000,0)),"")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IF(B94="","",COUNTIFS(Overall!$C$2:$C$1000,"CMF",Overall!$F$2:$F$1000,"&gt;"&amp;C94)+1)</f>
        <v/>
      </c>
      <c r="B94" s="11" t="str">
        <f aca="false">IFERROR(INDEX(Overall!$B$2:$B$1000,MATCH("CMF|93",Overall!$I$2:$I$1000,0)),"")</f>
        <v/>
      </c>
      <c r="C94" s="19" t="str">
        <f aca="false">IFERROR(INDEX(Overall!$F$2:$F$1000,MATCH("CMF|93",Overall!$I$2:$I$1000,0)),"")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IF(B95="","",COUNTIFS(Overall!$C$2:$C$1000,"CMF",Overall!$F$2:$F$1000,"&gt;"&amp;C95)+1)</f>
        <v/>
      </c>
      <c r="B95" s="11" t="str">
        <f aca="false">IFERROR(INDEX(Overall!$B$2:$B$1000,MATCH("CMF|94",Overall!$I$2:$I$1000,0)),"")</f>
        <v/>
      </c>
      <c r="C95" s="19" t="str">
        <f aca="false">IFERROR(INDEX(Overall!$F$2:$F$1000,MATCH("CMF|94",Overall!$I$2:$I$1000,0)),"")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IF(B96="","",COUNTIFS(Overall!$C$2:$C$1000,"CMF",Overall!$F$2:$F$1000,"&gt;"&amp;C96)+1)</f>
        <v/>
      </c>
      <c r="B96" s="11" t="str">
        <f aca="false">IFERROR(INDEX(Overall!$B$2:$B$1000,MATCH("CMF|95",Overall!$I$2:$I$1000,0)),"")</f>
        <v/>
      </c>
      <c r="C96" s="19" t="str">
        <f aca="false">IFERROR(INDEX(Overall!$F$2:$F$1000,MATCH("CMF|95",Overall!$I$2:$I$1000,0)),"")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IF(B97="","",COUNTIFS(Overall!$C$2:$C$1000,"CMF",Overall!$F$2:$F$1000,"&gt;"&amp;C97)+1)</f>
        <v/>
      </c>
      <c r="B97" s="11" t="str">
        <f aca="false">IFERROR(INDEX(Overall!$B$2:$B$1000,MATCH("CMF|96",Overall!$I$2:$I$1000,0)),"")</f>
        <v/>
      </c>
      <c r="C97" s="19" t="str">
        <f aca="false">IFERROR(INDEX(Overall!$F$2:$F$1000,MATCH("CMF|96",Overall!$I$2:$I$1000,0)),"")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IF(B98="","",COUNTIFS(Overall!$C$2:$C$1000,"CMF",Overall!$F$2:$F$1000,"&gt;"&amp;C98)+1)</f>
        <v/>
      </c>
      <c r="B98" s="11" t="str">
        <f aca="false">IFERROR(INDEX(Overall!$B$2:$B$1000,MATCH("CMF|97",Overall!$I$2:$I$1000,0)),"")</f>
        <v/>
      </c>
      <c r="C98" s="19" t="str">
        <f aca="false">IFERROR(INDEX(Overall!$F$2:$F$1000,MATCH("CMF|97",Overall!$I$2:$I$1000,0)),"")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IF(B99="","",COUNTIFS(Overall!$C$2:$C$1000,"CMF",Overall!$F$2:$F$1000,"&gt;"&amp;C99)+1)</f>
        <v/>
      </c>
      <c r="B99" s="11" t="str">
        <f aca="false">IFERROR(INDEX(Overall!$B$2:$B$1000,MATCH("CMF|98",Overall!$I$2:$I$1000,0)),"")</f>
        <v/>
      </c>
      <c r="C99" s="19" t="str">
        <f aca="false">IFERROR(INDEX(Overall!$F$2:$F$1000,MATCH("CMF|98",Overall!$I$2:$I$1000,0)),"")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IF(B100="","",COUNTIFS(Overall!$C$2:$C$1000,"CMF",Overall!$F$2:$F$1000,"&gt;"&amp;C100)+1)</f>
        <v/>
      </c>
      <c r="B100" s="11" t="str">
        <f aca="false">IFERROR(INDEX(Overall!$B$2:$B$1000,MATCH("CMF|99",Overall!$I$2:$I$1000,0)),"")</f>
        <v/>
      </c>
      <c r="C100" s="19" t="str">
        <f aca="false">IFERROR(INDEX(Overall!$F$2:$F$1000,MATCH("CMF|99",Overall!$I$2:$I$1000,0)),"")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IF(B101="","",COUNTIFS(Overall!$C$2:$C$1000,"CMF",Overall!$F$2:$F$1000,"&gt;"&amp;C101)+1)</f>
        <v/>
      </c>
      <c r="B101" s="11" t="str">
        <f aca="false">IFERROR(INDEX(Overall!$B$2:$B$1000,MATCH("CMF|100",Overall!$I$2:$I$1000,0)),"")</f>
        <v/>
      </c>
      <c r="C101" s="19" t="str">
        <f aca="false">IFERROR(INDEX(Overall!$F$2:$F$1000,MATCH("CMF|100",Overall!$I$2:$I$1000,0)),"")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IF(B102="","",COUNTIFS(Overall!$C$2:$C$1000,"CMF",Overall!$F$2:$F$1000,"&gt;"&amp;C102)+1)</f>
        <v/>
      </c>
      <c r="B102" s="11" t="str">
        <f aca="false">IFERROR(INDEX(Overall!$B$2:$B$1000,MATCH("CMF|101",Overall!$I$2:$I$1000,0)),"")</f>
        <v/>
      </c>
      <c r="C102" s="19" t="str">
        <f aca="false">IFERROR(INDEX(Overall!$F$2:$F$1000,MATCH("CMF|101",Overall!$I$2:$I$1000,0)),"")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IF(B103="","",COUNTIFS(Overall!$C$2:$C$1000,"CMF",Overall!$F$2:$F$1000,"&gt;"&amp;C103)+1)</f>
        <v/>
      </c>
      <c r="B103" s="11" t="str">
        <f aca="false">IFERROR(INDEX(Overall!$B$2:$B$1000,MATCH("CMF|102",Overall!$I$2:$I$1000,0)),"")</f>
        <v/>
      </c>
      <c r="C103" s="19" t="str">
        <f aca="false">IFERROR(INDEX(Overall!$F$2:$F$1000,MATCH("CMF|102",Overall!$I$2:$I$1000,0)),"")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IF(B104="","",COUNTIFS(Overall!$C$2:$C$1000,"CMF",Overall!$F$2:$F$1000,"&gt;"&amp;C104)+1)</f>
        <v/>
      </c>
      <c r="B104" s="11" t="str">
        <f aca="false">IFERROR(INDEX(Overall!$B$2:$B$1000,MATCH("CMF|103",Overall!$I$2:$I$1000,0)),"")</f>
        <v/>
      </c>
      <c r="C104" s="19" t="str">
        <f aca="false">IFERROR(INDEX(Overall!$F$2:$F$1000,MATCH("CMF|103",Overall!$I$2:$I$1000,0)),"")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IF(B105="","",COUNTIFS(Overall!$C$2:$C$1000,"CMF",Overall!$F$2:$F$1000,"&gt;"&amp;C105)+1)</f>
        <v/>
      </c>
      <c r="B105" s="11" t="str">
        <f aca="false">IFERROR(INDEX(Overall!$B$2:$B$1000,MATCH("CMF|104",Overall!$I$2:$I$1000,0)),"")</f>
        <v/>
      </c>
      <c r="C105" s="19" t="str">
        <f aca="false">IFERROR(INDEX(Overall!$F$2:$F$1000,MATCH("CMF|104",Overall!$I$2:$I$1000,0)),"")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IF(B106="","",COUNTIFS(Overall!$C$2:$C$1000,"CMF",Overall!$F$2:$F$1000,"&gt;"&amp;C106)+1)</f>
        <v/>
      </c>
      <c r="B106" s="11" t="str">
        <f aca="false">IFERROR(INDEX(Overall!$B$2:$B$1000,MATCH("CMF|105",Overall!$I$2:$I$1000,0)),"")</f>
        <v/>
      </c>
      <c r="C106" s="19" t="str">
        <f aca="false">IFERROR(INDEX(Overall!$F$2:$F$1000,MATCH("CMF|105",Overall!$I$2:$I$1000,0)),"")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IF(B107="","",COUNTIFS(Overall!$C$2:$C$1000,"CMF",Overall!$F$2:$F$1000,"&gt;"&amp;C107)+1)</f>
        <v/>
      </c>
      <c r="B107" s="11" t="str">
        <f aca="false">IFERROR(INDEX(Overall!$B$2:$B$1000,MATCH("CMF|106",Overall!$I$2:$I$1000,0)),"")</f>
        <v/>
      </c>
      <c r="C107" s="19" t="str">
        <f aca="false">IFERROR(INDEX(Overall!$F$2:$F$1000,MATCH("CMF|106",Overall!$I$2:$I$1000,0)),"")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IF(B108="","",COUNTIFS(Overall!$C$2:$C$1000,"CMF",Overall!$F$2:$F$1000,"&gt;"&amp;C108)+1)</f>
        <v/>
      </c>
      <c r="B108" s="11" t="str">
        <f aca="false">IFERROR(INDEX(Overall!$B$2:$B$1000,MATCH("CMF|107",Overall!$I$2:$I$1000,0)),"")</f>
        <v/>
      </c>
      <c r="C108" s="19" t="str">
        <f aca="false">IFERROR(INDEX(Overall!$F$2:$F$1000,MATCH("CMF|107",Overall!$I$2:$I$1000,0)),"")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IF(B109="","",COUNTIFS(Overall!$C$2:$C$1000,"CMF",Overall!$F$2:$F$1000,"&gt;"&amp;C109)+1)</f>
        <v/>
      </c>
      <c r="B109" s="11" t="str">
        <f aca="false">IFERROR(INDEX(Overall!$B$2:$B$1000,MATCH("CMF|108",Overall!$I$2:$I$1000,0)),"")</f>
        <v/>
      </c>
      <c r="C109" s="19" t="str">
        <f aca="false">IFERROR(INDEX(Overall!$F$2:$F$1000,MATCH("CMF|108",Overall!$I$2:$I$1000,0)),"")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IF(B110="","",COUNTIFS(Overall!$C$2:$C$1000,"CMF",Overall!$F$2:$F$1000,"&gt;"&amp;C110)+1)</f>
        <v/>
      </c>
      <c r="B110" s="11" t="str">
        <f aca="false">IFERROR(INDEX(Overall!$B$2:$B$1000,MATCH("CMF|109",Overall!$I$2:$I$1000,0)),"")</f>
        <v/>
      </c>
      <c r="C110" s="19" t="str">
        <f aca="false">IFERROR(INDEX(Overall!$F$2:$F$1000,MATCH("CMF|109",Overall!$I$2:$I$1000,0)),"")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IF(B111="","",COUNTIFS(Overall!$C$2:$C$1000,"CMF",Overall!$F$2:$F$1000,"&gt;"&amp;C111)+1)</f>
        <v/>
      </c>
      <c r="B111" s="11" t="str">
        <f aca="false">IFERROR(INDEX(Overall!$B$2:$B$1000,MATCH("CMF|110",Overall!$I$2:$I$1000,0)),"")</f>
        <v/>
      </c>
      <c r="C111" s="19" t="str">
        <f aca="false">IFERROR(INDEX(Overall!$F$2:$F$1000,MATCH("CMF|110",Overall!$I$2:$I$1000,0)),"")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IF(B112="","",COUNTIFS(Overall!$C$2:$C$1000,"CMF",Overall!$F$2:$F$1000,"&gt;"&amp;C112)+1)</f>
        <v/>
      </c>
      <c r="B112" s="11" t="str">
        <f aca="false">IFERROR(INDEX(Overall!$B$2:$B$1000,MATCH("CMF|111",Overall!$I$2:$I$1000,0)),"")</f>
        <v/>
      </c>
      <c r="C112" s="19" t="str">
        <f aca="false">IFERROR(INDEX(Overall!$F$2:$F$1000,MATCH("CMF|111",Overall!$I$2:$I$1000,0)),"")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IF(B113="","",COUNTIFS(Overall!$C$2:$C$1000,"CMF",Overall!$F$2:$F$1000,"&gt;"&amp;C113)+1)</f>
        <v/>
      </c>
      <c r="B113" s="11" t="str">
        <f aca="false">IFERROR(INDEX(Overall!$B$2:$B$1000,MATCH("CMF|112",Overall!$I$2:$I$1000,0)),"")</f>
        <v/>
      </c>
      <c r="C113" s="19" t="str">
        <f aca="false">IFERROR(INDEX(Overall!$F$2:$F$1000,MATCH("CMF|112",Overall!$I$2:$I$1000,0)),"")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IF(B114="","",COUNTIFS(Overall!$C$2:$C$1000,"CMF",Overall!$F$2:$F$1000,"&gt;"&amp;C114)+1)</f>
        <v/>
      </c>
      <c r="B114" s="11" t="str">
        <f aca="false">IFERROR(INDEX(Overall!$B$2:$B$1000,MATCH("CMF|113",Overall!$I$2:$I$1000,0)),"")</f>
        <v/>
      </c>
      <c r="C114" s="19" t="str">
        <f aca="false">IFERROR(INDEX(Overall!$F$2:$F$1000,MATCH("CMF|113",Overall!$I$2:$I$1000,0)),"")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IF(B115="","",COUNTIFS(Overall!$C$2:$C$1000,"CMF",Overall!$F$2:$F$1000,"&gt;"&amp;C115)+1)</f>
        <v/>
      </c>
      <c r="B115" s="11" t="str">
        <f aca="false">IFERROR(INDEX(Overall!$B$2:$B$1000,MATCH("CMF|114",Overall!$I$2:$I$1000,0)),"")</f>
        <v/>
      </c>
      <c r="C115" s="19" t="str">
        <f aca="false">IFERROR(INDEX(Overall!$F$2:$F$1000,MATCH("CMF|114",Overall!$I$2:$I$1000,0)),"")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IF(B116="","",COUNTIFS(Overall!$C$2:$C$1000,"CMF",Overall!$F$2:$F$1000,"&gt;"&amp;C116)+1)</f>
        <v/>
      </c>
      <c r="B116" s="11" t="str">
        <f aca="false">IFERROR(INDEX(Overall!$B$2:$B$1000,MATCH("CMF|115",Overall!$I$2:$I$1000,0)),"")</f>
        <v/>
      </c>
      <c r="C116" s="19" t="str">
        <f aca="false">IFERROR(INDEX(Overall!$F$2:$F$1000,MATCH("CMF|115",Overall!$I$2:$I$1000,0)),"")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IF(B117="","",COUNTIFS(Overall!$C$2:$C$1000,"CMF",Overall!$F$2:$F$1000,"&gt;"&amp;C117)+1)</f>
        <v/>
      </c>
      <c r="B117" s="11" t="str">
        <f aca="false">IFERROR(INDEX(Overall!$B$2:$B$1000,MATCH("CMF|116",Overall!$I$2:$I$1000,0)),"")</f>
        <v/>
      </c>
      <c r="C117" s="19" t="str">
        <f aca="false">IFERROR(INDEX(Overall!$F$2:$F$1000,MATCH("CMF|116",Overall!$I$2:$I$1000,0)),"")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IF(B118="","",COUNTIFS(Overall!$C$2:$C$1000,"CMF",Overall!$F$2:$F$1000,"&gt;"&amp;C118)+1)</f>
        <v/>
      </c>
      <c r="B118" s="11" t="str">
        <f aca="false">IFERROR(INDEX(Overall!$B$2:$B$1000,MATCH("CMF|117",Overall!$I$2:$I$1000,0)),"")</f>
        <v/>
      </c>
      <c r="C118" s="19" t="str">
        <f aca="false">IFERROR(INDEX(Overall!$F$2:$F$1000,MATCH("CMF|117",Overall!$I$2:$I$1000,0)),"")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IF(B119="","",COUNTIFS(Overall!$C$2:$C$1000,"CMF",Overall!$F$2:$F$1000,"&gt;"&amp;C119)+1)</f>
        <v/>
      </c>
      <c r="B119" s="11" t="str">
        <f aca="false">IFERROR(INDEX(Overall!$B$2:$B$1000,MATCH("CMF|118",Overall!$I$2:$I$1000,0)),"")</f>
        <v/>
      </c>
      <c r="C119" s="19" t="str">
        <f aca="false">IFERROR(INDEX(Overall!$F$2:$F$1000,MATCH("CMF|118",Overall!$I$2:$I$1000,0)),"")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IF(B120="","",COUNTIFS(Overall!$C$2:$C$1000,"CMF",Overall!$F$2:$F$1000,"&gt;"&amp;C120)+1)</f>
        <v/>
      </c>
      <c r="B120" s="11" t="str">
        <f aca="false">IFERROR(INDEX(Overall!$B$2:$B$1000,MATCH("CMF|119",Overall!$I$2:$I$1000,0)),"")</f>
        <v/>
      </c>
      <c r="C120" s="19" t="str">
        <f aca="false">IFERROR(INDEX(Overall!$F$2:$F$1000,MATCH("CMF|119",Overall!$I$2:$I$1000,0)),"")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IF(B121="","",COUNTIFS(Overall!$C$2:$C$1000,"CMF",Overall!$F$2:$F$1000,"&gt;"&amp;C121)+1)</f>
        <v/>
      </c>
      <c r="B121" s="11" t="str">
        <f aca="false">IFERROR(INDEX(Overall!$B$2:$B$1000,MATCH("CMF|120",Overall!$I$2:$I$1000,0)),"")</f>
        <v/>
      </c>
      <c r="C121" s="19" t="str">
        <f aca="false">IFERROR(INDEX(Overall!$F$2:$F$1000,MATCH("CMF|120",Overall!$I$2:$I$1000,0)),"")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IF(B122="","",COUNTIFS(Overall!$C$2:$C$1000,"CMF",Overall!$F$2:$F$1000,"&gt;"&amp;C122)+1)</f>
        <v/>
      </c>
      <c r="B122" s="11" t="str">
        <f aca="false">IFERROR(INDEX(Overall!$B$2:$B$1000,MATCH("CMF|121",Overall!$I$2:$I$1000,0)),"")</f>
        <v/>
      </c>
      <c r="C122" s="19" t="str">
        <f aca="false">IFERROR(INDEX(Overall!$F$2:$F$1000,MATCH("CMF|121",Overall!$I$2:$I$1000,0)),"")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IF(B123="","",COUNTIFS(Overall!$C$2:$C$1000,"CMF",Overall!$F$2:$F$1000,"&gt;"&amp;C123)+1)</f>
        <v/>
      </c>
      <c r="B123" s="11" t="str">
        <f aca="false">IFERROR(INDEX(Overall!$B$2:$B$1000,MATCH("CMF|122",Overall!$I$2:$I$1000,0)),"")</f>
        <v/>
      </c>
      <c r="C123" s="19" t="str">
        <f aca="false">IFERROR(INDEX(Overall!$F$2:$F$1000,MATCH("CMF|122",Overall!$I$2:$I$1000,0)),"")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IF(B124="","",COUNTIFS(Overall!$C$2:$C$1000,"CMF",Overall!$F$2:$F$1000,"&gt;"&amp;C124)+1)</f>
        <v/>
      </c>
      <c r="B124" s="11" t="str">
        <f aca="false">IFERROR(INDEX(Overall!$B$2:$B$1000,MATCH("CMF|123",Overall!$I$2:$I$1000,0)),"")</f>
        <v/>
      </c>
      <c r="C124" s="19" t="str">
        <f aca="false">IFERROR(INDEX(Overall!$F$2:$F$1000,MATCH("CMF|123",Overall!$I$2:$I$1000,0)),"")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IF(B125="","",COUNTIFS(Overall!$C$2:$C$1000,"CMF",Overall!$F$2:$F$1000,"&gt;"&amp;C125)+1)</f>
        <v/>
      </c>
      <c r="B125" s="11" t="str">
        <f aca="false">IFERROR(INDEX(Overall!$B$2:$B$1000,MATCH("CMF|124",Overall!$I$2:$I$1000,0)),"")</f>
        <v/>
      </c>
      <c r="C125" s="19" t="str">
        <f aca="false">IFERROR(INDEX(Overall!$F$2:$F$1000,MATCH("CMF|124",Overall!$I$2:$I$1000,0)),"")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IF(B126="","",COUNTIFS(Overall!$C$2:$C$1000,"CMF",Overall!$F$2:$F$1000,"&gt;"&amp;C126)+1)</f>
        <v/>
      </c>
      <c r="B126" s="11" t="str">
        <f aca="false">IFERROR(INDEX(Overall!$B$2:$B$1000,MATCH("CMF|125",Overall!$I$2:$I$1000,0)),"")</f>
        <v/>
      </c>
      <c r="C126" s="19" t="str">
        <f aca="false">IFERROR(INDEX(Overall!$F$2:$F$1000,MATCH("CMF|125",Overall!$I$2:$I$1000,0)),"")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IF(B127="","",COUNTIFS(Overall!$C$2:$C$1000,"CMF",Overall!$F$2:$F$1000,"&gt;"&amp;C127)+1)</f>
        <v/>
      </c>
      <c r="B127" s="11" t="str">
        <f aca="false">IFERROR(INDEX(Overall!$B$2:$B$1000,MATCH("CMF|126",Overall!$I$2:$I$1000,0)),"")</f>
        <v/>
      </c>
      <c r="C127" s="19" t="str">
        <f aca="false">IFERROR(INDEX(Overall!$F$2:$F$1000,MATCH("CMF|126",Overall!$I$2:$I$1000,0)),"")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IF(B128="","",COUNTIFS(Overall!$C$2:$C$1000,"CMF",Overall!$F$2:$F$1000,"&gt;"&amp;C128)+1)</f>
        <v/>
      </c>
      <c r="B128" s="11" t="str">
        <f aca="false">IFERROR(INDEX(Overall!$B$2:$B$1000,MATCH("CMF|127",Overall!$I$2:$I$1000,0)),"")</f>
        <v/>
      </c>
      <c r="C128" s="19" t="str">
        <f aca="false">IFERROR(INDEX(Overall!$F$2:$F$1000,MATCH("CMF|127",Overall!$I$2:$I$1000,0)),"")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IF(B129="","",COUNTIFS(Overall!$C$2:$C$1000,"CMF",Overall!$F$2:$F$1000,"&gt;"&amp;C129)+1)</f>
        <v/>
      </c>
      <c r="B129" s="11" t="str">
        <f aca="false">IFERROR(INDEX(Overall!$B$2:$B$1000,MATCH("CMF|128",Overall!$I$2:$I$1000,0)),"")</f>
        <v/>
      </c>
      <c r="C129" s="19" t="str">
        <f aca="false">IFERROR(INDEX(Overall!$F$2:$F$1000,MATCH("CMF|128",Overall!$I$2:$I$1000,0)),"")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IF(B130="","",COUNTIFS(Overall!$C$2:$C$1000,"CMF",Overall!$F$2:$F$1000,"&gt;"&amp;C130)+1)</f>
        <v/>
      </c>
      <c r="B130" s="11" t="str">
        <f aca="false">IFERROR(INDEX(Overall!$B$2:$B$1000,MATCH("CMF|129",Overall!$I$2:$I$1000,0)),"")</f>
        <v/>
      </c>
      <c r="C130" s="19" t="str">
        <f aca="false">IFERROR(INDEX(Overall!$F$2:$F$1000,MATCH("CMF|129",Overall!$I$2:$I$1000,0)),"")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IF(B131="","",COUNTIFS(Overall!$C$2:$C$1000,"CMF",Overall!$F$2:$F$1000,"&gt;"&amp;C131)+1)</f>
        <v/>
      </c>
      <c r="B131" s="11" t="str">
        <f aca="false">IFERROR(INDEX(Overall!$B$2:$B$1000,MATCH("CMF|130",Overall!$I$2:$I$1000,0)),"")</f>
        <v/>
      </c>
      <c r="C131" s="19" t="str">
        <f aca="false">IFERROR(INDEX(Overall!$F$2:$F$1000,MATCH("CMF|130",Overall!$I$2:$I$1000,0)),"")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IF(B132="","",COUNTIFS(Overall!$C$2:$C$1000,"CMF",Overall!$F$2:$F$1000,"&gt;"&amp;C132)+1)</f>
        <v/>
      </c>
      <c r="B132" s="11" t="str">
        <f aca="false">IFERROR(INDEX(Overall!$B$2:$B$1000,MATCH("CMF|131",Overall!$I$2:$I$1000,0)),"")</f>
        <v/>
      </c>
      <c r="C132" s="19" t="str">
        <f aca="false">IFERROR(INDEX(Overall!$F$2:$F$1000,MATCH("CMF|131",Overall!$I$2:$I$1000,0)),"")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IF(B133="","",COUNTIFS(Overall!$C$2:$C$1000,"CMF",Overall!$F$2:$F$1000,"&gt;"&amp;C133)+1)</f>
        <v/>
      </c>
      <c r="B133" s="11" t="str">
        <f aca="false">IFERROR(INDEX(Overall!$B$2:$B$1000,MATCH("CMF|132",Overall!$I$2:$I$1000,0)),"")</f>
        <v/>
      </c>
      <c r="C133" s="19" t="str">
        <f aca="false">IFERROR(INDEX(Overall!$F$2:$F$1000,MATCH("CMF|132",Overall!$I$2:$I$1000,0)),"")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IF(B134="","",COUNTIFS(Overall!$C$2:$C$1000,"CMF",Overall!$F$2:$F$1000,"&gt;"&amp;C134)+1)</f>
        <v/>
      </c>
      <c r="B134" s="11" t="str">
        <f aca="false">IFERROR(INDEX(Overall!$B$2:$B$1000,MATCH("CMF|133",Overall!$I$2:$I$1000,0)),"")</f>
        <v/>
      </c>
      <c r="C134" s="19" t="str">
        <f aca="false">IFERROR(INDEX(Overall!$F$2:$F$1000,MATCH("CMF|133",Overall!$I$2:$I$1000,0)),"")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IF(B135="","",COUNTIFS(Overall!$C$2:$C$1000,"CMF",Overall!$F$2:$F$1000,"&gt;"&amp;C135)+1)</f>
        <v/>
      </c>
      <c r="B135" s="11" t="str">
        <f aca="false">IFERROR(INDEX(Overall!$B$2:$B$1000,MATCH("CMF|134",Overall!$I$2:$I$1000,0)),"")</f>
        <v/>
      </c>
      <c r="C135" s="19" t="str">
        <f aca="false">IFERROR(INDEX(Overall!$F$2:$F$1000,MATCH("CMF|134",Overall!$I$2:$I$1000,0)),"")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IF(B136="","",COUNTIFS(Overall!$C$2:$C$1000,"CMF",Overall!$F$2:$F$1000,"&gt;"&amp;C136)+1)</f>
        <v/>
      </c>
      <c r="B136" s="11" t="str">
        <f aca="false">IFERROR(INDEX(Overall!$B$2:$B$1000,MATCH("CMF|135",Overall!$I$2:$I$1000,0)),"")</f>
        <v/>
      </c>
      <c r="C136" s="19" t="str">
        <f aca="false">IFERROR(INDEX(Overall!$F$2:$F$1000,MATCH("CMF|135",Overall!$I$2:$I$1000,0)),"")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IF(B137="","",COUNTIFS(Overall!$C$2:$C$1000,"CMF",Overall!$F$2:$F$1000,"&gt;"&amp;C137)+1)</f>
        <v/>
      </c>
      <c r="B137" s="11" t="str">
        <f aca="false">IFERROR(INDEX(Overall!$B$2:$B$1000,MATCH("CMF|136",Overall!$I$2:$I$1000,0)),"")</f>
        <v/>
      </c>
      <c r="C137" s="19" t="str">
        <f aca="false">IFERROR(INDEX(Overall!$F$2:$F$1000,MATCH("CMF|136",Overall!$I$2:$I$1000,0)),"")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IF(B138="","",COUNTIFS(Overall!$C$2:$C$1000,"CMF",Overall!$F$2:$F$1000,"&gt;"&amp;C138)+1)</f>
        <v/>
      </c>
      <c r="B138" s="11" t="str">
        <f aca="false">IFERROR(INDEX(Overall!$B$2:$B$1000,MATCH("CMF|137",Overall!$I$2:$I$1000,0)),"")</f>
        <v/>
      </c>
      <c r="C138" s="19" t="str">
        <f aca="false">IFERROR(INDEX(Overall!$F$2:$F$1000,MATCH("CMF|137",Overall!$I$2:$I$1000,0)),"")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IF(B139="","",COUNTIFS(Overall!$C$2:$C$1000,"CMF",Overall!$F$2:$F$1000,"&gt;"&amp;C139)+1)</f>
        <v/>
      </c>
      <c r="B139" s="11" t="str">
        <f aca="false">IFERROR(INDEX(Overall!$B$2:$B$1000,MATCH("CMF|138",Overall!$I$2:$I$1000,0)),"")</f>
        <v/>
      </c>
      <c r="C139" s="19" t="str">
        <f aca="false">IFERROR(INDEX(Overall!$F$2:$F$1000,MATCH("CMF|138",Overall!$I$2:$I$1000,0)),"")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IF(B140="","",COUNTIFS(Overall!$C$2:$C$1000,"CMF",Overall!$F$2:$F$1000,"&gt;"&amp;C140)+1)</f>
        <v/>
      </c>
      <c r="B140" s="11" t="str">
        <f aca="false">IFERROR(INDEX(Overall!$B$2:$B$1000,MATCH("CMF|139",Overall!$I$2:$I$1000,0)),"")</f>
        <v/>
      </c>
      <c r="C140" s="19" t="str">
        <f aca="false">IFERROR(INDEX(Overall!$F$2:$F$1000,MATCH("CMF|139",Overall!$I$2:$I$1000,0)),"")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IF(B141="","",COUNTIFS(Overall!$C$2:$C$1000,"CMF",Overall!$F$2:$F$1000,"&gt;"&amp;C141)+1)</f>
        <v/>
      </c>
      <c r="B141" s="11" t="str">
        <f aca="false">IFERROR(INDEX(Overall!$B$2:$B$1000,MATCH("CMF|140",Overall!$I$2:$I$1000,0)),"")</f>
        <v/>
      </c>
      <c r="C141" s="19" t="str">
        <f aca="false">IFERROR(INDEX(Overall!$F$2:$F$1000,MATCH("CMF|140",Overall!$I$2:$I$1000,0)),"")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IF(B142="","",COUNTIFS(Overall!$C$2:$C$1000,"CMF",Overall!$F$2:$F$1000,"&gt;"&amp;C142)+1)</f>
        <v/>
      </c>
      <c r="B142" s="11" t="str">
        <f aca="false">IFERROR(INDEX(Overall!$B$2:$B$1000,MATCH("CMF|141",Overall!$I$2:$I$1000,0)),"")</f>
        <v/>
      </c>
      <c r="C142" s="19" t="str">
        <f aca="false">IFERROR(INDEX(Overall!$F$2:$F$1000,MATCH("CMF|141",Overall!$I$2:$I$1000,0)),"")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IF(B143="","",COUNTIFS(Overall!$C$2:$C$1000,"CMF",Overall!$F$2:$F$1000,"&gt;"&amp;C143)+1)</f>
        <v/>
      </c>
      <c r="B143" s="11" t="str">
        <f aca="false">IFERROR(INDEX(Overall!$B$2:$B$1000,MATCH("CMF|142",Overall!$I$2:$I$1000,0)),"")</f>
        <v/>
      </c>
      <c r="C143" s="19" t="str">
        <f aca="false">IFERROR(INDEX(Overall!$F$2:$F$1000,MATCH("CMF|142",Overall!$I$2:$I$1000,0)),"")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IF(B144="","",COUNTIFS(Overall!$C$2:$C$1000,"CMF",Overall!$F$2:$F$1000,"&gt;"&amp;C144)+1)</f>
        <v/>
      </c>
      <c r="B144" s="11" t="str">
        <f aca="false">IFERROR(INDEX(Overall!$B$2:$B$1000,MATCH("CMF|143",Overall!$I$2:$I$1000,0)),"")</f>
        <v/>
      </c>
      <c r="C144" s="19" t="str">
        <f aca="false">IFERROR(INDEX(Overall!$F$2:$F$1000,MATCH("CMF|143",Overall!$I$2:$I$1000,0)),"")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IF(B145="","",COUNTIFS(Overall!$C$2:$C$1000,"CMF",Overall!$F$2:$F$1000,"&gt;"&amp;C145)+1)</f>
        <v/>
      </c>
      <c r="B145" s="11" t="str">
        <f aca="false">IFERROR(INDEX(Overall!$B$2:$B$1000,MATCH("CMF|144",Overall!$I$2:$I$1000,0)),"")</f>
        <v/>
      </c>
      <c r="C145" s="19" t="str">
        <f aca="false">IFERROR(INDEX(Overall!$F$2:$F$1000,MATCH("CMF|144",Overall!$I$2:$I$1000,0)),"")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IF(B146="","",COUNTIFS(Overall!$C$2:$C$1000,"CMF",Overall!$F$2:$F$1000,"&gt;"&amp;C146)+1)</f>
        <v/>
      </c>
      <c r="B146" s="11" t="str">
        <f aca="false">IFERROR(INDEX(Overall!$B$2:$B$1000,MATCH("CMF|145",Overall!$I$2:$I$1000,0)),"")</f>
        <v/>
      </c>
      <c r="C146" s="19" t="str">
        <f aca="false">IFERROR(INDEX(Overall!$F$2:$F$1000,MATCH("CMF|145",Overall!$I$2:$I$1000,0)),"")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IF(B147="","",COUNTIFS(Overall!$C$2:$C$1000,"CMF",Overall!$F$2:$F$1000,"&gt;"&amp;C147)+1)</f>
        <v/>
      </c>
      <c r="B147" s="11" t="str">
        <f aca="false">IFERROR(INDEX(Overall!$B$2:$B$1000,MATCH("CMF|146",Overall!$I$2:$I$1000,0)),"")</f>
        <v/>
      </c>
      <c r="C147" s="19" t="str">
        <f aca="false">IFERROR(INDEX(Overall!$F$2:$F$1000,MATCH("CMF|146",Overall!$I$2:$I$1000,0)),"")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IF(B148="","",COUNTIFS(Overall!$C$2:$C$1000,"CMF",Overall!$F$2:$F$1000,"&gt;"&amp;C148)+1)</f>
        <v/>
      </c>
      <c r="B148" s="11" t="str">
        <f aca="false">IFERROR(INDEX(Overall!$B$2:$B$1000,MATCH("CMF|147",Overall!$I$2:$I$1000,0)),"")</f>
        <v/>
      </c>
      <c r="C148" s="19" t="str">
        <f aca="false">IFERROR(INDEX(Overall!$F$2:$F$1000,MATCH("CMF|147",Overall!$I$2:$I$1000,0)),"")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IF(B149="","",COUNTIFS(Overall!$C$2:$C$1000,"CMF",Overall!$F$2:$F$1000,"&gt;"&amp;C149)+1)</f>
        <v/>
      </c>
      <c r="B149" s="11" t="str">
        <f aca="false">IFERROR(INDEX(Overall!$B$2:$B$1000,MATCH("CMF|148",Overall!$I$2:$I$1000,0)),"")</f>
        <v/>
      </c>
      <c r="C149" s="19" t="str">
        <f aca="false">IFERROR(INDEX(Overall!$F$2:$F$1000,MATCH("CMF|148",Overall!$I$2:$I$1000,0)),"")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IF(B150="","",COUNTIFS(Overall!$C$2:$C$1000,"CMF",Overall!$F$2:$F$1000,"&gt;"&amp;C150)+1)</f>
        <v/>
      </c>
      <c r="B150" s="11" t="str">
        <f aca="false">IFERROR(INDEX(Overall!$B$2:$B$1000,MATCH("CMF|149",Overall!$I$2:$I$1000,0)),"")</f>
        <v/>
      </c>
      <c r="C150" s="19" t="str">
        <f aca="false">IFERROR(INDEX(Overall!$F$2:$F$1000,MATCH("CMF|149",Overall!$I$2:$I$1000,0)),"")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IF(B151="","",COUNTIFS(Overall!$C$2:$C$1000,"CMF",Overall!$F$2:$F$1000,"&gt;"&amp;C151)+1)</f>
        <v/>
      </c>
      <c r="B151" s="11" t="str">
        <f aca="false">IFERROR(INDEX(Overall!$B$2:$B$1000,MATCH("CMF|150",Overall!$I$2:$I$1000,0)),"")</f>
        <v/>
      </c>
      <c r="C151" s="19" t="str">
        <f aca="false">IFERROR(INDEX(Overall!$F$2:$F$1000,MATCH("CMF|150",Overall!$I$2:$I$1000,0)),"")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BDD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IF(B2="","",COUNTIFS(Overall!$C$2:$C$1000,"LMF",Overall!$F$2:$F$1000,"&gt;"&amp;C2)+1)</f>
        <v>1</v>
      </c>
      <c r="B2" s="11" t="str">
        <f aca="false">IFERROR(INDEX(Overall!$B$2:$B$1000,MATCH("LMF|1",Overall!$I$2:$I$1000,0)),"")</f>
        <v>Dada</v>
      </c>
      <c r="C2" s="19" t="n">
        <f aca="false">IFERROR(INDEX(Overall!$F$2:$F$1000,MATCH("LMF|1",Overall!$I$2:$I$1000,0)),"")</f>
        <v>99</v>
      </c>
    </row>
    <row r="3" customFormat="false" ht="15" hidden="false" customHeight="false" outlineLevel="0" collapsed="false">
      <c r="A3" s="22" t="n">
        <f aca="false">IF(B3="","",COUNTIFS(Overall!$C$2:$C$1000,"LMF",Overall!$F$2:$F$1000,"&gt;"&amp;C3)+1)</f>
        <v>2</v>
      </c>
      <c r="B3" s="11" t="str">
        <f aca="false">IFERROR(INDEX(Overall!$B$2:$B$1000,MATCH("LMF|2",Overall!$I$2:$I$1000,0)),"")</f>
        <v>Deku</v>
      </c>
      <c r="C3" s="19" t="n">
        <f aca="false">IFERROR(INDEX(Overall!$F$2:$F$1000,MATCH("LMF|2",Overall!$I$2:$I$1000,0)),"")</f>
        <v>98</v>
      </c>
    </row>
    <row r="4" customFormat="false" ht="15" hidden="false" customHeight="false" outlineLevel="0" collapsed="false">
      <c r="A4" s="22" t="n">
        <f aca="false">IF(B4="","",COUNTIFS(Overall!$C$2:$C$1000,"LMF",Overall!$F$2:$F$1000,"&gt;"&amp;C4)+1)</f>
        <v>3</v>
      </c>
      <c r="B4" s="11" t="str">
        <f aca="false">IFERROR(INDEX(Overall!$B$2:$B$1000,MATCH("LMF|3",Overall!$I$2:$I$1000,0)),"")</f>
        <v>Dyspo</v>
      </c>
      <c r="C4" s="19" t="n">
        <f aca="false">IFERROR(INDEX(Overall!$F$2:$F$1000,MATCH("LMF|3",Overall!$I$2:$I$1000,0)),"")</f>
        <v>97</v>
      </c>
    </row>
    <row r="5" customFormat="false" ht="15" hidden="false" customHeight="false" outlineLevel="0" collapsed="false">
      <c r="A5" s="22" t="n">
        <f aca="false">IF(B5="","",COUNTIFS(Overall!$C$2:$C$1000,"LMF",Overall!$F$2:$F$1000,"&gt;"&amp;C5)+1)</f>
        <v>4</v>
      </c>
      <c r="B5" s="11" t="str">
        <f aca="false">IFERROR(INDEX(Overall!$B$2:$B$1000,MATCH("LMF|4",Overall!$I$2:$I$1000,0)),"")</f>
        <v>Eriko biba</v>
      </c>
      <c r="C5" s="19" t="n">
        <f aca="false">IFERROR(INDEX(Overall!$F$2:$F$1000,MATCH("LMF|4",Overall!$I$2:$I$1000,0)),"")</f>
        <v>93</v>
      </c>
    </row>
    <row r="6" customFormat="false" ht="15" hidden="false" customHeight="false" outlineLevel="0" collapsed="false">
      <c r="A6" s="22" t="n">
        <f aca="false">IF(B6="","",COUNTIFS(Overall!$C$2:$C$1000,"LMF",Overall!$F$2:$F$1000,"&gt;"&amp;C6)+1)</f>
        <v>4</v>
      </c>
      <c r="B6" s="11" t="str">
        <f aca="false">IFERROR(INDEX(Overall!$B$2:$B$1000,MATCH("LMF|5",Overall!$I$2:$I$1000,0)),"")</f>
        <v>Super buu</v>
      </c>
      <c r="C6" s="19" t="n">
        <f aca="false">IFERROR(INDEX(Overall!$F$2:$F$1000,MATCH("LMF|5",Overall!$I$2:$I$1000,0)),"")</f>
        <v>93</v>
      </c>
    </row>
    <row r="7" customFormat="false" ht="15" hidden="false" customHeight="false" outlineLevel="0" collapsed="false">
      <c r="A7" s="22" t="n">
        <f aca="false">IF(B7="","",COUNTIFS(Overall!$C$2:$C$1000,"LMF",Overall!$F$2:$F$1000,"&gt;"&amp;C7)+1)</f>
        <v>6</v>
      </c>
      <c r="B7" s="11" t="str">
        <f aca="false">IFERROR(INDEX(Overall!$B$2:$B$1000,MATCH("LMF|6",Overall!$I$2:$I$1000,0)),"")</f>
        <v>Spiderman</v>
      </c>
      <c r="C7" s="19" t="n">
        <f aca="false">IFERROR(INDEX(Overall!$F$2:$F$1000,MATCH("LMF|6",Overall!$I$2:$I$1000,0)),"")</f>
        <v>90</v>
      </c>
    </row>
    <row r="8" customFormat="false" ht="15" hidden="false" customHeight="false" outlineLevel="0" collapsed="false">
      <c r="A8" s="22" t="n">
        <f aca="false">IF(B8="","",COUNTIFS(Overall!$C$2:$C$1000,"LMF",Overall!$F$2:$F$1000,"&gt;"&amp;C8)+1)</f>
        <v>7</v>
      </c>
      <c r="B8" s="11" t="str">
        <f aca="false">IFERROR(INDEX(Overall!$B$2:$B$1000,MATCH("LMF|7",Overall!$I$2:$I$1000,0)),"")</f>
        <v>Chopper</v>
      </c>
      <c r="C8" s="19" t="n">
        <f aca="false">IFERROR(INDEX(Overall!$F$2:$F$1000,MATCH("LMF|7",Overall!$I$2:$I$1000,0)),"")</f>
        <v>88</v>
      </c>
    </row>
    <row r="9" customFormat="false" ht="15" hidden="false" customHeight="false" outlineLevel="0" collapsed="false">
      <c r="A9" s="22" t="n">
        <f aca="false">IF(B9="","",COUNTIFS(Overall!$C$2:$C$1000,"LMF",Overall!$F$2:$F$1000,"&gt;"&amp;C9)+1)</f>
        <v>8</v>
      </c>
      <c r="B9" s="11" t="str">
        <f aca="false">IFERROR(INDEX(Overall!$B$2:$B$1000,MATCH("LMF|8",Overall!$I$2:$I$1000,0)),"")</f>
        <v>Meliodas</v>
      </c>
      <c r="C9" s="19" t="n">
        <f aca="false">IFERROR(INDEX(Overall!$F$2:$F$1000,MATCH("LMF|8",Overall!$I$2:$I$1000,0)),"")</f>
        <v>87</v>
      </c>
    </row>
    <row r="10" customFormat="false" ht="15" hidden="false" customHeight="false" outlineLevel="0" collapsed="false">
      <c r="A10" s="22" t="n">
        <f aca="false">IF(B10="","",COUNTIFS(Overall!$C$2:$C$1000,"LMF",Overall!$F$2:$F$1000,"&gt;"&amp;C10)+1)</f>
        <v>9</v>
      </c>
      <c r="B10" s="11" t="str">
        <f aca="false">IFERROR(INDEX(Overall!$B$2:$B$1000,MATCH("LMF|9",Overall!$I$2:$I$1000,0)),"")</f>
        <v>Crash bandicoot</v>
      </c>
      <c r="C10" s="19" t="n">
        <f aca="false">IFERROR(INDEX(Overall!$F$2:$F$1000,MATCH("LMF|9",Overall!$I$2:$I$1000,0)),"")</f>
        <v>86</v>
      </c>
    </row>
    <row r="11" customFormat="false" ht="15" hidden="false" customHeight="false" outlineLevel="0" collapsed="false">
      <c r="A11" s="22" t="n">
        <f aca="false">IF(B11="","",COUNTIFS(Overall!$C$2:$C$1000,"LMF",Overall!$F$2:$F$1000,"&gt;"&amp;C11)+1)</f>
        <v>9</v>
      </c>
      <c r="B11" s="11" t="str">
        <f aca="false">IFERROR(INDEX(Overall!$B$2:$B$1000,MATCH("LMF|10",Overall!$I$2:$I$1000,0)),"")</f>
        <v>Paperino</v>
      </c>
      <c r="C11" s="19" t="n">
        <f aca="false">IFERROR(INDEX(Overall!$F$2:$F$1000,MATCH("LMF|10",Overall!$I$2:$I$1000,0)),"")</f>
        <v>86</v>
      </c>
    </row>
    <row r="12" customFormat="false" ht="15" hidden="false" customHeight="false" outlineLevel="0" collapsed="false">
      <c r="A12" s="22" t="n">
        <f aca="false">IF(B12="","",COUNTIFS(Overall!$C$2:$C$1000,"LMF",Overall!$F$2:$F$1000,"&gt;"&amp;C12)+1)</f>
        <v>11</v>
      </c>
      <c r="B12" s="11" t="str">
        <f aca="false">IFERROR(INDEX(Overall!$B$2:$B$1000,MATCH("LMF|11",Overall!$I$2:$I$1000,0)),"")</f>
        <v>Lisa Simpson</v>
      </c>
      <c r="C12" s="19" t="n">
        <f aca="false">IFERROR(INDEX(Overall!$F$2:$F$1000,MATCH("LMF|11",Overall!$I$2:$I$1000,0)),"")</f>
        <v>85</v>
      </c>
    </row>
    <row r="13" customFormat="false" ht="15" hidden="false" customHeight="false" outlineLevel="0" collapsed="false">
      <c r="A13" s="22" t="n">
        <f aca="false">IF(B13="","",COUNTIFS(Overall!$C$2:$C$1000,"LMF",Overall!$F$2:$F$1000,"&gt;"&amp;C13)+1)</f>
        <v>11</v>
      </c>
      <c r="B13" s="11" t="str">
        <f aca="false">IFERROR(INDEX(Overall!$B$2:$B$1000,MATCH("LMF|12",Overall!$I$2:$I$1000,0)),"")</f>
        <v>Silver</v>
      </c>
      <c r="C13" s="19" t="n">
        <f aca="false">IFERROR(INDEX(Overall!$F$2:$F$1000,MATCH("LMF|12",Overall!$I$2:$I$1000,0)),"")</f>
        <v>85</v>
      </c>
    </row>
    <row r="14" customFormat="false" ht="15" hidden="false" customHeight="false" outlineLevel="0" collapsed="false">
      <c r="A14" s="22" t="n">
        <f aca="false">IF(B14="","",COUNTIFS(Overall!$C$2:$C$1000,"LMF",Overall!$F$2:$F$1000,"&gt;"&amp;C14)+1)</f>
        <v>13</v>
      </c>
      <c r="B14" s="11" t="str">
        <f aca="false">IFERROR(INDEX(Overall!$B$2:$B$1000,MATCH("LMF|13",Overall!$I$2:$I$1000,0)),"")</f>
        <v>Squirtle</v>
      </c>
      <c r="C14" s="19" t="n">
        <f aca="false">IFERROR(INDEX(Overall!$F$2:$F$1000,MATCH("LMF|13",Overall!$I$2:$I$1000,0)),"")</f>
        <v>84</v>
      </c>
    </row>
    <row r="15" customFormat="false" ht="15" hidden="false" customHeight="false" outlineLevel="0" collapsed="false">
      <c r="A15" s="22" t="n">
        <f aca="false">IF(B15="","",COUNTIFS(Overall!$C$2:$C$1000,"LMF",Overall!$F$2:$F$1000,"&gt;"&amp;C15)+1)</f>
        <v>13</v>
      </c>
      <c r="B15" s="11" t="str">
        <f aca="false">IFERROR(INDEX(Overall!$B$2:$B$1000,MATCH("LMF|14",Overall!$I$2:$I$1000,0)),"")</f>
        <v>Bruno bucciarari</v>
      </c>
      <c r="C15" s="19" t="n">
        <f aca="false">IFERROR(INDEX(Overall!$F$2:$F$1000,MATCH("LMF|14",Overall!$I$2:$I$1000,0)),"")</f>
        <v>84</v>
      </c>
    </row>
    <row r="16" customFormat="false" ht="15" hidden="false" customHeight="false" outlineLevel="0" collapsed="false">
      <c r="A16" s="22" t="n">
        <f aca="false">IF(B16="","",COUNTIFS(Overall!$C$2:$C$1000,"LMF",Overall!$F$2:$F$1000,"&gt;"&amp;C16)+1)</f>
        <v>15</v>
      </c>
      <c r="B16" s="11" t="str">
        <f aca="false">IFERROR(INDEX(Overall!$B$2:$B$1000,MATCH("LMF|15",Overall!$I$2:$I$1000,0)),"")</f>
        <v>Rex splode</v>
      </c>
      <c r="C16" s="19" t="n">
        <f aca="false">IFERROR(INDEX(Overall!$F$2:$F$1000,MATCH("LMF|15",Overall!$I$2:$I$1000,0)),"")</f>
        <v>83</v>
      </c>
    </row>
    <row r="17" customFormat="false" ht="15" hidden="false" customHeight="false" outlineLevel="0" collapsed="false">
      <c r="A17" s="22" t="n">
        <f aca="false">IF(B17="","",COUNTIFS(Overall!$C$2:$C$1000,"LMF",Overall!$F$2:$F$1000,"&gt;"&amp;C17)+1)</f>
        <v>15</v>
      </c>
      <c r="B17" s="11" t="str">
        <f aca="false">IFERROR(INDEX(Overall!$B$2:$B$1000,MATCH("LMF|16",Overall!$I$2:$I$1000,0)),"")</f>
        <v>Leon</v>
      </c>
      <c r="C17" s="19" t="n">
        <f aca="false">IFERROR(INDEX(Overall!$F$2:$F$1000,MATCH("LMF|16",Overall!$I$2:$I$1000,0)),"")</f>
        <v>83</v>
      </c>
    </row>
    <row r="18" customFormat="false" ht="15" hidden="false" customHeight="false" outlineLevel="0" collapsed="false">
      <c r="A18" s="22" t="n">
        <f aca="false">IF(B18="","",COUNTIFS(Overall!$C$2:$C$1000,"LMF",Overall!$F$2:$F$1000,"&gt;"&amp;C18)+1)</f>
        <v>15</v>
      </c>
      <c r="B18" s="11" t="str">
        <f aca="false">IFERROR(INDEX(Overall!$B$2:$B$1000,MATCH("LMF|17",Overall!$I$2:$I$1000,0)),"")</f>
        <v>Metal frieza</v>
      </c>
      <c r="C18" s="19" t="n">
        <f aca="false">IFERROR(INDEX(Overall!$F$2:$F$1000,MATCH("LMF|17",Overall!$I$2:$I$1000,0)),"")</f>
        <v>83</v>
      </c>
    </row>
    <row r="19" customFormat="false" ht="15" hidden="false" customHeight="false" outlineLevel="0" collapsed="false">
      <c r="A19" s="22" t="n">
        <f aca="false">IF(B19="","",COUNTIFS(Overall!$C$2:$C$1000,"LMF",Overall!$F$2:$F$1000,"&gt;"&amp;C19)+1)</f>
        <v>18</v>
      </c>
      <c r="B19" s="11" t="str">
        <f aca="false">IFERROR(INDEX(Overall!$B$2:$B$1000,MATCH("LMF|18",Overall!$I$2:$I$1000,0)),"")</f>
        <v>Rigby</v>
      </c>
      <c r="C19" s="19" t="n">
        <f aca="false">IFERROR(INDEX(Overall!$F$2:$F$1000,MATCH("LMF|18",Overall!$I$2:$I$1000,0)),"")</f>
        <v>82</v>
      </c>
    </row>
    <row r="20" customFormat="false" ht="15" hidden="false" customHeight="false" outlineLevel="0" collapsed="false">
      <c r="A20" s="22" t="n">
        <f aca="false">IF(B20="","",COUNTIFS(Overall!$C$2:$C$1000,"LMF",Overall!$F$2:$F$1000,"&gt;"&amp;C20)+1)</f>
        <v>19</v>
      </c>
      <c r="B20" s="11" t="str">
        <f aca="false">IFERROR(INDEX(Overall!$B$2:$B$1000,MATCH("LMF|19",Overall!$I$2:$I$1000,0)),"")</f>
        <v>Roadrunner</v>
      </c>
      <c r="C20" s="19" t="n">
        <f aca="false">IFERROR(INDEX(Overall!$F$2:$F$1000,MATCH("LMF|19",Overall!$I$2:$I$1000,0)),"")</f>
        <v>81</v>
      </c>
    </row>
    <row r="21" customFormat="false" ht="15" hidden="false" customHeight="false" outlineLevel="0" collapsed="false">
      <c r="A21" s="22" t="n">
        <f aca="false">IF(B21="","",COUNTIFS(Overall!$C$2:$C$1000,"LMF",Overall!$F$2:$F$1000,"&gt;"&amp;C21)+1)</f>
        <v>19</v>
      </c>
      <c r="B21" s="11" t="str">
        <f aca="false">IFERROR(INDEX(Overall!$B$2:$B$1000,MATCH("LMF|20",Overall!$I$2:$I$1000,0)),"")</f>
        <v>Firestorm</v>
      </c>
      <c r="C21" s="19" t="n">
        <f aca="false">IFERROR(INDEX(Overall!$F$2:$F$1000,MATCH("LMF|20",Overall!$I$2:$I$1000,0)),"")</f>
        <v>81</v>
      </c>
    </row>
    <row r="22" customFormat="false" ht="15" hidden="false" customHeight="false" outlineLevel="0" collapsed="false">
      <c r="A22" s="22" t="n">
        <f aca="false">IF(B22="","",COUNTIFS(Overall!$C$2:$C$1000,"LMF",Overall!$F$2:$F$1000,"&gt;"&amp;C22)+1)</f>
        <v>21</v>
      </c>
      <c r="B22" s="11" t="str">
        <f aca="false">IFERROR(INDEX(Overall!$B$2:$B$1000,MATCH("LMF|21",Overall!$I$2:$I$1000,0)),"")</f>
        <v>Koopa</v>
      </c>
      <c r="C22" s="19" t="n">
        <f aca="false">IFERROR(INDEX(Overall!$F$2:$F$1000,MATCH("LMF|21",Overall!$I$2:$I$1000,0)),"")</f>
        <v>80</v>
      </c>
    </row>
    <row r="23" customFormat="false" ht="15" hidden="false" customHeight="false" outlineLevel="0" collapsed="false">
      <c r="A23" s="22" t="n">
        <f aca="false">IF(B23="","",COUNTIFS(Overall!$C$2:$C$1000,"LMF",Overall!$F$2:$F$1000,"&gt;"&amp;C23)+1)</f>
        <v>21</v>
      </c>
      <c r="B23" s="11" t="str">
        <f aca="false">IFERROR(INDEX(Overall!$B$2:$B$1000,MATCH("LMF|22",Overall!$I$2:$I$1000,0)),"")</f>
        <v>Will a. Zeppeli</v>
      </c>
      <c r="C23" s="19" t="n">
        <f aca="false">IFERROR(INDEX(Overall!$F$2:$F$1000,MATCH("LMF|22",Overall!$I$2:$I$1000,0)),"")</f>
        <v>80</v>
      </c>
    </row>
    <row r="24" customFormat="false" ht="15" hidden="false" customHeight="false" outlineLevel="0" collapsed="false">
      <c r="A24" s="22" t="n">
        <f aca="false">IF(B24="","",COUNTIFS(Overall!$C$2:$C$1000,"LMF",Overall!$F$2:$F$1000,"&gt;"&amp;C24)+1)</f>
        <v>21</v>
      </c>
      <c r="B24" s="11" t="str">
        <f aca="false">IFERROR(INDEX(Overall!$B$2:$B$1000,MATCH("LMF|23",Overall!$I$2:$I$1000,0)),"")</f>
        <v>Krilin</v>
      </c>
      <c r="C24" s="19" t="n">
        <f aca="false">IFERROR(INDEX(Overall!$F$2:$F$1000,MATCH("LMF|23",Overall!$I$2:$I$1000,0)),"")</f>
        <v>80</v>
      </c>
    </row>
    <row r="25" customFormat="false" ht="15" hidden="false" customHeight="false" outlineLevel="0" collapsed="false">
      <c r="A25" s="22" t="n">
        <f aca="false">IF(B25="","",COUNTIFS(Overall!$C$2:$C$1000,"LMF",Overall!$F$2:$F$1000,"&gt;"&amp;C25)+1)</f>
        <v>24</v>
      </c>
      <c r="B25" s="11" t="str">
        <f aca="false">IFERROR(INDEX(Overall!$B$2:$B$1000,MATCH("LMF|24",Overall!$I$2:$I$1000,0)),"")</f>
        <v>Wolf</v>
      </c>
      <c r="C25" s="19" t="n">
        <f aca="false">IFERROR(INDEX(Overall!$F$2:$F$1000,MATCH("LMF|24",Overall!$I$2:$I$1000,0)),"")</f>
        <v>78</v>
      </c>
    </row>
    <row r="26" customFormat="false" ht="15" hidden="false" customHeight="false" outlineLevel="0" collapsed="false">
      <c r="A26" s="22" t="n">
        <f aca="false">IF(B26="","",COUNTIFS(Overall!$C$2:$C$1000,"LMF",Overall!$F$2:$F$1000,"&gt;"&amp;C26)+1)</f>
        <v>25</v>
      </c>
      <c r="B26" s="11" t="str">
        <f aca="false">IFERROR(INDEX(Overall!$B$2:$B$1000,MATCH("LMF|25",Overall!$I$2:$I$1000,0)),"")</f>
        <v>Bubbles</v>
      </c>
      <c r="C26" s="19" t="n">
        <f aca="false">IFERROR(INDEX(Overall!$F$2:$F$1000,MATCH("LMF|25",Overall!$I$2:$I$1000,0)),"")</f>
        <v>77</v>
      </c>
    </row>
    <row r="27" customFormat="false" ht="15" hidden="false" customHeight="false" outlineLevel="0" collapsed="false">
      <c r="A27" s="22" t="n">
        <f aca="false">IF(B27="","",COUNTIFS(Overall!$C$2:$C$1000,"LMF",Overall!$F$2:$F$1000,"&gt;"&amp;C27)+1)</f>
        <v>25</v>
      </c>
      <c r="B27" s="11" t="str">
        <f aca="false">IFERROR(INDEX(Overall!$B$2:$B$1000,MATCH("LMF|26",Overall!$I$2:$I$1000,0)),"")</f>
        <v>Diddy Kong</v>
      </c>
      <c r="C27" s="19" t="n">
        <f aca="false">IFERROR(INDEX(Overall!$F$2:$F$1000,MATCH("LMF|26",Overall!$I$2:$I$1000,0)),"")</f>
        <v>77</v>
      </c>
    </row>
    <row r="28" customFormat="false" ht="15" hidden="false" customHeight="false" outlineLevel="0" collapsed="false">
      <c r="A28" s="22" t="n">
        <f aca="false">IF(B28="","",COUNTIFS(Overall!$C$2:$C$1000,"LMF",Overall!$F$2:$F$1000,"&gt;"&amp;C28)+1)</f>
        <v>27</v>
      </c>
      <c r="B28" s="11" t="str">
        <f aca="false">IFERROR(INDEX(Overall!$B$2:$B$1000,MATCH("LMF|27",Overall!$I$2:$I$1000,0)),"")</f>
        <v>Slave</v>
      </c>
      <c r="C28" s="19" t="n">
        <f aca="false">IFERROR(INDEX(Overall!$F$2:$F$1000,MATCH("LMF|27",Overall!$I$2:$I$1000,0)),"")</f>
        <v>76</v>
      </c>
    </row>
    <row r="29" customFormat="false" ht="15" hidden="false" customHeight="false" outlineLevel="0" collapsed="false">
      <c r="A29" s="22" t="n">
        <f aca="false">IF(B29="","",COUNTIFS(Overall!$C$2:$C$1000,"LMF",Overall!$F$2:$F$1000,"&gt;"&amp;C29)+1)</f>
        <v>27</v>
      </c>
      <c r="B29" s="11" t="str">
        <f aca="false">IFERROR(INDEX(Overall!$B$2:$B$1000,MATCH("LMF|28",Overall!$I$2:$I$1000,0)),"")</f>
        <v>Re Davide</v>
      </c>
      <c r="C29" s="19" t="n">
        <f aca="false">IFERROR(INDEX(Overall!$F$2:$F$1000,MATCH("LMF|28",Overall!$I$2:$I$1000,0)),"")</f>
        <v>76</v>
      </c>
    </row>
    <row r="30" customFormat="false" ht="15" hidden="false" customHeight="false" outlineLevel="0" collapsed="false">
      <c r="A30" s="22" t="str">
        <f aca="false">IF(B30="","",COUNTIFS(Overall!$C$2:$C$1000,"LMF",Overall!$F$2:$F$1000,"&gt;"&amp;C30)+1)</f>
        <v/>
      </c>
      <c r="B30" s="11" t="str">
        <f aca="false">IFERROR(INDEX(Overall!$B$2:$B$1000,MATCH("LMF|29",Overall!$I$2:$I$1000,0)),"")</f>
        <v/>
      </c>
      <c r="C30" s="19" t="str">
        <f aca="false">IFERROR(INDEX(Overall!$F$2:$F$1000,MATCH("LMF|29",Overall!$I$2:$I$1000,0)),"")</f>
        <v/>
      </c>
    </row>
    <row r="31" customFormat="false" ht="15" hidden="false" customHeight="false" outlineLevel="0" collapsed="false">
      <c r="A31" s="22" t="str">
        <f aca="false">IF(B31="","",COUNTIFS(Overall!$C$2:$C$1000,"LMF",Overall!$F$2:$F$1000,"&gt;"&amp;C31)+1)</f>
        <v/>
      </c>
      <c r="B31" s="11" t="str">
        <f aca="false">IFERROR(INDEX(Overall!$B$2:$B$1000,MATCH("LMF|30",Overall!$I$2:$I$1000,0)),"")</f>
        <v/>
      </c>
      <c r="C31" s="19" t="str">
        <f aca="false">IFERROR(INDEX(Overall!$F$2:$F$1000,MATCH("LMF|30",Overall!$I$2:$I$1000,0)),"")</f>
        <v/>
      </c>
    </row>
    <row r="32" customFormat="false" ht="15" hidden="false" customHeight="false" outlineLevel="0" collapsed="false">
      <c r="A32" s="22" t="str">
        <f aca="false">IF(B32="","",COUNTIFS(Overall!$C$2:$C$1000,"LMF",Overall!$F$2:$F$1000,"&gt;"&amp;C32)+1)</f>
        <v/>
      </c>
      <c r="B32" s="11" t="str">
        <f aca="false">IFERROR(INDEX(Overall!$B$2:$B$1000,MATCH("LMF|31",Overall!$I$2:$I$1000,0)),"")</f>
        <v/>
      </c>
      <c r="C32" s="19" t="str">
        <f aca="false">IFERROR(INDEX(Overall!$F$2:$F$1000,MATCH("LMF|31",Overall!$I$2:$I$1000,0)),"")</f>
        <v/>
      </c>
    </row>
    <row r="33" customFormat="false" ht="15" hidden="false" customHeight="false" outlineLevel="0" collapsed="false">
      <c r="A33" s="22" t="str">
        <f aca="false">IF(B33="","",COUNTIFS(Overall!$C$2:$C$1000,"LMF",Overall!$F$2:$F$1000,"&gt;"&amp;C33)+1)</f>
        <v/>
      </c>
      <c r="B33" s="11" t="str">
        <f aca="false">IFERROR(INDEX(Overall!$B$2:$B$1000,MATCH("LMF|32",Overall!$I$2:$I$1000,0)),"")</f>
        <v/>
      </c>
      <c r="C33" s="19" t="str">
        <f aca="false">IFERROR(INDEX(Overall!$F$2:$F$1000,MATCH("LMF|32",Overall!$I$2:$I$1000,0)),"")</f>
        <v/>
      </c>
    </row>
    <row r="34" customFormat="false" ht="15" hidden="false" customHeight="false" outlineLevel="0" collapsed="false">
      <c r="A34" s="22" t="str">
        <f aca="false">IF(B34="","",COUNTIFS(Overall!$C$2:$C$1000,"LMF",Overall!$F$2:$F$1000,"&gt;"&amp;C34)+1)</f>
        <v/>
      </c>
      <c r="B34" s="11" t="str">
        <f aca="false">IFERROR(INDEX(Overall!$B$2:$B$1000,MATCH("LMF|33",Overall!$I$2:$I$1000,0)),"")</f>
        <v/>
      </c>
      <c r="C34" s="19" t="str">
        <f aca="false">IFERROR(INDEX(Overall!$F$2:$F$1000,MATCH("LMF|33",Overall!$I$2:$I$1000,0)),"")</f>
        <v/>
      </c>
    </row>
    <row r="35" customFormat="false" ht="15" hidden="false" customHeight="false" outlineLevel="0" collapsed="false">
      <c r="A35" s="22" t="str">
        <f aca="false">IF(B35="","",COUNTIFS(Overall!$C$2:$C$1000,"LMF",Overall!$F$2:$F$1000,"&gt;"&amp;C35)+1)</f>
        <v/>
      </c>
      <c r="B35" s="11" t="str">
        <f aca="false">IFERROR(INDEX(Overall!$B$2:$B$1000,MATCH("LMF|34",Overall!$I$2:$I$1000,0)),"")</f>
        <v/>
      </c>
      <c r="C35" s="19" t="str">
        <f aca="false">IFERROR(INDEX(Overall!$F$2:$F$1000,MATCH("LMF|34",Overall!$I$2:$I$1000,0)),"")</f>
        <v/>
      </c>
    </row>
    <row r="36" customFormat="false" ht="15" hidden="false" customHeight="false" outlineLevel="0" collapsed="false">
      <c r="A36" s="22" t="str">
        <f aca="false">IF(B36="","",COUNTIFS(Overall!$C$2:$C$1000,"LMF",Overall!$F$2:$F$1000,"&gt;"&amp;C36)+1)</f>
        <v/>
      </c>
      <c r="B36" s="11" t="str">
        <f aca="false">IFERROR(INDEX(Overall!$B$2:$B$1000,MATCH("LMF|35",Overall!$I$2:$I$1000,0)),"")</f>
        <v/>
      </c>
      <c r="C36" s="19" t="str">
        <f aca="false">IFERROR(INDEX(Overall!$F$2:$F$1000,MATCH("LMF|35",Overall!$I$2:$I$1000,0)),"")</f>
        <v/>
      </c>
    </row>
    <row r="37" customFormat="false" ht="15" hidden="false" customHeight="false" outlineLevel="0" collapsed="false">
      <c r="A37" s="22" t="str">
        <f aca="false">IF(B37="","",COUNTIFS(Overall!$C$2:$C$1000,"LMF",Overall!$F$2:$F$1000,"&gt;"&amp;C37)+1)</f>
        <v/>
      </c>
      <c r="B37" s="11" t="str">
        <f aca="false">IFERROR(INDEX(Overall!$B$2:$B$1000,MATCH("LMF|36",Overall!$I$2:$I$1000,0)),"")</f>
        <v/>
      </c>
      <c r="C37" s="19" t="str">
        <f aca="false">IFERROR(INDEX(Overall!$F$2:$F$1000,MATCH("LMF|36",Overall!$I$2:$I$1000,0)),"")</f>
        <v/>
      </c>
    </row>
    <row r="38" customFormat="false" ht="15" hidden="false" customHeight="false" outlineLevel="0" collapsed="false">
      <c r="A38" s="22" t="str">
        <f aca="false">IF(B38="","",COUNTIFS(Overall!$C$2:$C$1000,"LMF",Overall!$F$2:$F$1000,"&gt;"&amp;C38)+1)</f>
        <v/>
      </c>
      <c r="B38" s="11" t="str">
        <f aca="false">IFERROR(INDEX(Overall!$B$2:$B$1000,MATCH("LMF|37",Overall!$I$2:$I$1000,0)),"")</f>
        <v/>
      </c>
      <c r="C38" s="19" t="str">
        <f aca="false">IFERROR(INDEX(Overall!$F$2:$F$1000,MATCH("LMF|37",Overall!$I$2:$I$1000,0)),"")</f>
        <v/>
      </c>
    </row>
    <row r="39" customFormat="false" ht="15" hidden="false" customHeight="false" outlineLevel="0" collapsed="false">
      <c r="A39" s="22" t="str">
        <f aca="false">IF(B39="","",COUNTIFS(Overall!$C$2:$C$1000,"LMF",Overall!$F$2:$F$1000,"&gt;"&amp;C39)+1)</f>
        <v/>
      </c>
      <c r="B39" s="11" t="str">
        <f aca="false">IFERROR(INDEX(Overall!$B$2:$B$1000,MATCH("LMF|38",Overall!$I$2:$I$1000,0)),"")</f>
        <v/>
      </c>
      <c r="C39" s="19" t="str">
        <f aca="false">IFERROR(INDEX(Overall!$F$2:$F$1000,MATCH("LMF|38",Overall!$I$2:$I$1000,0)),"")</f>
        <v/>
      </c>
    </row>
    <row r="40" customFormat="false" ht="15" hidden="false" customHeight="false" outlineLevel="0" collapsed="false">
      <c r="A40" s="22" t="str">
        <f aca="false">IF(B40="","",COUNTIFS(Overall!$C$2:$C$1000,"LMF",Overall!$F$2:$F$1000,"&gt;"&amp;C40)+1)</f>
        <v/>
      </c>
      <c r="B40" s="11" t="str">
        <f aca="false">IFERROR(INDEX(Overall!$B$2:$B$1000,MATCH("LMF|39",Overall!$I$2:$I$1000,0)),"")</f>
        <v/>
      </c>
      <c r="C40" s="19" t="str">
        <f aca="false">IFERROR(INDEX(Overall!$F$2:$F$1000,MATCH("LMF|39",Overall!$I$2:$I$1000,0)),"")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IF(B41="","",COUNTIFS(Overall!$C$2:$C$1000,"LMF",Overall!$F$2:$F$1000,"&gt;"&amp;C41)+1)</f>
        <v/>
      </c>
      <c r="B41" s="11" t="str">
        <f aca="false">IFERROR(INDEX(Overall!$B$2:$B$1000,MATCH("LMF|40",Overall!$I$2:$I$1000,0)),"")</f>
        <v/>
      </c>
      <c r="C41" s="19" t="str">
        <f aca="false">IFERROR(INDEX(Overall!$F$2:$F$1000,MATCH("LMF|40",Overall!$I$2:$I$1000,0)),"")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IF(B42="","",COUNTIFS(Overall!$C$2:$C$1000,"LMF",Overall!$F$2:$F$1000,"&gt;"&amp;C42)+1)</f>
        <v/>
      </c>
      <c r="B42" s="11" t="str">
        <f aca="false">IFERROR(INDEX(Overall!$B$2:$B$1000,MATCH("LMF|41",Overall!$I$2:$I$1000,0)),"")</f>
        <v/>
      </c>
      <c r="C42" s="19" t="str">
        <f aca="false">IFERROR(INDEX(Overall!$F$2:$F$1000,MATCH("LMF|41",Overall!$I$2:$I$1000,0)),"")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IF(B43="","",COUNTIFS(Overall!$C$2:$C$1000,"LMF",Overall!$F$2:$F$1000,"&gt;"&amp;C43)+1)</f>
        <v/>
      </c>
      <c r="B43" s="11" t="str">
        <f aca="false">IFERROR(INDEX(Overall!$B$2:$B$1000,MATCH("LMF|42",Overall!$I$2:$I$1000,0)),"")</f>
        <v/>
      </c>
      <c r="C43" s="19" t="str">
        <f aca="false">IFERROR(INDEX(Overall!$F$2:$F$1000,MATCH("LMF|42",Overall!$I$2:$I$1000,0)),"")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IF(B44="","",COUNTIFS(Overall!$C$2:$C$1000,"LMF",Overall!$F$2:$F$1000,"&gt;"&amp;C44)+1)</f>
        <v/>
      </c>
      <c r="B44" s="11" t="str">
        <f aca="false">IFERROR(INDEX(Overall!$B$2:$B$1000,MATCH("LMF|43",Overall!$I$2:$I$1000,0)),"")</f>
        <v/>
      </c>
      <c r="C44" s="19" t="str">
        <f aca="false">IFERROR(INDEX(Overall!$F$2:$F$1000,MATCH("LMF|43",Overall!$I$2:$I$1000,0)),"")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IF(B45="","",COUNTIFS(Overall!$C$2:$C$1000,"LMF",Overall!$F$2:$F$1000,"&gt;"&amp;C45)+1)</f>
        <v/>
      </c>
      <c r="B45" s="11" t="str">
        <f aca="false">IFERROR(INDEX(Overall!$B$2:$B$1000,MATCH("LMF|44",Overall!$I$2:$I$1000,0)),"")</f>
        <v/>
      </c>
      <c r="C45" s="19" t="str">
        <f aca="false">IFERROR(INDEX(Overall!$F$2:$F$1000,MATCH("LMF|44",Overall!$I$2:$I$1000,0)),"")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IF(B46="","",COUNTIFS(Overall!$C$2:$C$1000,"LMF",Overall!$F$2:$F$1000,"&gt;"&amp;C46)+1)</f>
        <v/>
      </c>
      <c r="B46" s="11" t="str">
        <f aca="false">IFERROR(INDEX(Overall!$B$2:$B$1000,MATCH("LMF|45",Overall!$I$2:$I$1000,0)),"")</f>
        <v/>
      </c>
      <c r="C46" s="19" t="str">
        <f aca="false">IFERROR(INDEX(Overall!$F$2:$F$1000,MATCH("LMF|45",Overall!$I$2:$I$1000,0)),"")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IF(B47="","",COUNTIFS(Overall!$C$2:$C$1000,"LMF",Overall!$F$2:$F$1000,"&gt;"&amp;C47)+1)</f>
        <v/>
      </c>
      <c r="B47" s="11" t="str">
        <f aca="false">IFERROR(INDEX(Overall!$B$2:$B$1000,MATCH("LMF|46",Overall!$I$2:$I$1000,0)),"")</f>
        <v/>
      </c>
      <c r="C47" s="19" t="str">
        <f aca="false">IFERROR(INDEX(Overall!$F$2:$F$1000,MATCH("LMF|46",Overall!$I$2:$I$1000,0)),"")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IF(B48="","",COUNTIFS(Overall!$C$2:$C$1000,"LMF",Overall!$F$2:$F$1000,"&gt;"&amp;C48)+1)</f>
        <v/>
      </c>
      <c r="B48" s="11" t="str">
        <f aca="false">IFERROR(INDEX(Overall!$B$2:$B$1000,MATCH("LMF|47",Overall!$I$2:$I$1000,0)),"")</f>
        <v/>
      </c>
      <c r="C48" s="19" t="str">
        <f aca="false">IFERROR(INDEX(Overall!$F$2:$F$1000,MATCH("LMF|47",Overall!$I$2:$I$1000,0)),"")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IF(B49="","",COUNTIFS(Overall!$C$2:$C$1000,"LMF",Overall!$F$2:$F$1000,"&gt;"&amp;C49)+1)</f>
        <v/>
      </c>
      <c r="B49" s="11" t="str">
        <f aca="false">IFERROR(INDEX(Overall!$B$2:$B$1000,MATCH("LMF|48",Overall!$I$2:$I$1000,0)),"")</f>
        <v/>
      </c>
      <c r="C49" s="19" t="str">
        <f aca="false">IFERROR(INDEX(Overall!$F$2:$F$1000,MATCH("LMF|48",Overall!$I$2:$I$1000,0)),"")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IF(B50="","",COUNTIFS(Overall!$C$2:$C$1000,"LMF",Overall!$F$2:$F$1000,"&gt;"&amp;C50)+1)</f>
        <v/>
      </c>
      <c r="B50" s="11" t="str">
        <f aca="false">IFERROR(INDEX(Overall!$B$2:$B$1000,MATCH("LMF|49",Overall!$I$2:$I$1000,0)),"")</f>
        <v/>
      </c>
      <c r="C50" s="19" t="str">
        <f aca="false">IFERROR(INDEX(Overall!$F$2:$F$1000,MATCH("LMF|49",Overall!$I$2:$I$1000,0)),"")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IF(B51="","",COUNTIFS(Overall!$C$2:$C$1000,"LMF",Overall!$F$2:$F$1000,"&gt;"&amp;C51)+1)</f>
        <v/>
      </c>
      <c r="B51" s="11" t="str">
        <f aca="false">IFERROR(INDEX(Overall!$B$2:$B$1000,MATCH("LMF|50",Overall!$I$2:$I$1000,0)),"")</f>
        <v/>
      </c>
      <c r="C51" s="19" t="str">
        <f aca="false">IFERROR(INDEX(Overall!$F$2:$F$1000,MATCH("LMF|50",Overall!$I$2:$I$1000,0)),"")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IF(B52="","",COUNTIFS(Overall!$C$2:$C$1000,"LMF",Overall!$F$2:$F$1000,"&gt;"&amp;C52)+1)</f>
        <v/>
      </c>
      <c r="B52" s="11" t="str">
        <f aca="false">IFERROR(INDEX(Overall!$B$2:$B$1000,MATCH("LMF|51",Overall!$I$2:$I$1000,0)),"")</f>
        <v/>
      </c>
      <c r="C52" s="19" t="str">
        <f aca="false">IFERROR(INDEX(Overall!$F$2:$F$1000,MATCH("LMF|51",Overall!$I$2:$I$1000,0)),"")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IF(B53="","",COUNTIFS(Overall!$C$2:$C$1000,"LMF",Overall!$F$2:$F$1000,"&gt;"&amp;C53)+1)</f>
        <v/>
      </c>
      <c r="B53" s="11" t="str">
        <f aca="false">IFERROR(INDEX(Overall!$B$2:$B$1000,MATCH("LMF|52",Overall!$I$2:$I$1000,0)),"")</f>
        <v/>
      </c>
      <c r="C53" s="19" t="str">
        <f aca="false">IFERROR(INDEX(Overall!$F$2:$F$1000,MATCH("LMF|52",Overall!$I$2:$I$1000,0)),"")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IF(B54="","",COUNTIFS(Overall!$C$2:$C$1000,"LMF",Overall!$F$2:$F$1000,"&gt;"&amp;C54)+1)</f>
        <v/>
      </c>
      <c r="B54" s="11" t="str">
        <f aca="false">IFERROR(INDEX(Overall!$B$2:$B$1000,MATCH("LMF|53",Overall!$I$2:$I$1000,0)),"")</f>
        <v/>
      </c>
      <c r="C54" s="19" t="str">
        <f aca="false">IFERROR(INDEX(Overall!$F$2:$F$1000,MATCH("LMF|53",Overall!$I$2:$I$1000,0)),"")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IF(B55="","",COUNTIFS(Overall!$C$2:$C$1000,"LMF",Overall!$F$2:$F$1000,"&gt;"&amp;C55)+1)</f>
        <v/>
      </c>
      <c r="B55" s="11" t="str">
        <f aca="false">IFERROR(INDEX(Overall!$B$2:$B$1000,MATCH("LMF|54",Overall!$I$2:$I$1000,0)),"")</f>
        <v/>
      </c>
      <c r="C55" s="19" t="str">
        <f aca="false">IFERROR(INDEX(Overall!$F$2:$F$1000,MATCH("LMF|54",Overall!$I$2:$I$1000,0)),"")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IF(B56="","",COUNTIFS(Overall!$C$2:$C$1000,"LMF",Overall!$F$2:$F$1000,"&gt;"&amp;C56)+1)</f>
        <v/>
      </c>
      <c r="B56" s="11" t="str">
        <f aca="false">IFERROR(INDEX(Overall!$B$2:$B$1000,MATCH("LMF|55",Overall!$I$2:$I$1000,0)),"")</f>
        <v/>
      </c>
      <c r="C56" s="19" t="str">
        <f aca="false">IFERROR(INDEX(Overall!$F$2:$F$1000,MATCH("LMF|55",Overall!$I$2:$I$1000,0)),"")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IF(B57="","",COUNTIFS(Overall!$C$2:$C$1000,"LMF",Overall!$F$2:$F$1000,"&gt;"&amp;C57)+1)</f>
        <v/>
      </c>
      <c r="B57" s="11" t="str">
        <f aca="false">IFERROR(INDEX(Overall!$B$2:$B$1000,MATCH("LMF|56",Overall!$I$2:$I$1000,0)),"")</f>
        <v/>
      </c>
      <c r="C57" s="19" t="str">
        <f aca="false">IFERROR(INDEX(Overall!$F$2:$F$1000,MATCH("LMF|56",Overall!$I$2:$I$1000,0)),"")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IF(B58="","",COUNTIFS(Overall!$C$2:$C$1000,"LMF",Overall!$F$2:$F$1000,"&gt;"&amp;C58)+1)</f>
        <v/>
      </c>
      <c r="B58" s="11" t="str">
        <f aca="false">IFERROR(INDEX(Overall!$B$2:$B$1000,MATCH("LMF|57",Overall!$I$2:$I$1000,0)),"")</f>
        <v/>
      </c>
      <c r="C58" s="19" t="str">
        <f aca="false">IFERROR(INDEX(Overall!$F$2:$F$1000,MATCH("LMF|57",Overall!$I$2:$I$1000,0)),"")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IF(B59="","",COUNTIFS(Overall!$C$2:$C$1000,"LMF",Overall!$F$2:$F$1000,"&gt;"&amp;C59)+1)</f>
        <v/>
      </c>
      <c r="B59" s="11" t="str">
        <f aca="false">IFERROR(INDEX(Overall!$B$2:$B$1000,MATCH("LMF|58",Overall!$I$2:$I$1000,0)),"")</f>
        <v/>
      </c>
      <c r="C59" s="19" t="str">
        <f aca="false">IFERROR(INDEX(Overall!$F$2:$F$1000,MATCH("LMF|58",Overall!$I$2:$I$1000,0)),"")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IF(B60="","",COUNTIFS(Overall!$C$2:$C$1000,"LMF",Overall!$F$2:$F$1000,"&gt;"&amp;C60)+1)</f>
        <v/>
      </c>
      <c r="B60" s="11" t="str">
        <f aca="false">IFERROR(INDEX(Overall!$B$2:$B$1000,MATCH("LMF|59",Overall!$I$2:$I$1000,0)),"")</f>
        <v/>
      </c>
      <c r="C60" s="19" t="str">
        <f aca="false">IFERROR(INDEX(Overall!$F$2:$F$1000,MATCH("LMF|59",Overall!$I$2:$I$1000,0)),"")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IF(B61="","",COUNTIFS(Overall!$C$2:$C$1000,"LMF",Overall!$F$2:$F$1000,"&gt;"&amp;C61)+1)</f>
        <v/>
      </c>
      <c r="B61" s="11" t="str">
        <f aca="false">IFERROR(INDEX(Overall!$B$2:$B$1000,MATCH("LMF|60",Overall!$I$2:$I$1000,0)),"")</f>
        <v/>
      </c>
      <c r="C61" s="19" t="str">
        <f aca="false">IFERROR(INDEX(Overall!$F$2:$F$1000,MATCH("LMF|60",Overall!$I$2:$I$1000,0)),"")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IF(B62="","",COUNTIFS(Overall!$C$2:$C$1000,"LMF",Overall!$F$2:$F$1000,"&gt;"&amp;C62)+1)</f>
        <v/>
      </c>
      <c r="B62" s="11" t="str">
        <f aca="false">IFERROR(INDEX(Overall!$B$2:$B$1000,MATCH("LMF|61",Overall!$I$2:$I$1000,0)),"")</f>
        <v/>
      </c>
      <c r="C62" s="19" t="str">
        <f aca="false">IFERROR(INDEX(Overall!$F$2:$F$1000,MATCH("LMF|61",Overall!$I$2:$I$1000,0)),"")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IF(B63="","",COUNTIFS(Overall!$C$2:$C$1000,"LMF",Overall!$F$2:$F$1000,"&gt;"&amp;C63)+1)</f>
        <v/>
      </c>
      <c r="B63" s="11" t="str">
        <f aca="false">IFERROR(INDEX(Overall!$B$2:$B$1000,MATCH("LMF|62",Overall!$I$2:$I$1000,0)),"")</f>
        <v/>
      </c>
      <c r="C63" s="19" t="str">
        <f aca="false">IFERROR(INDEX(Overall!$F$2:$F$1000,MATCH("LMF|62",Overall!$I$2:$I$1000,0)),"")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IF(B64="","",COUNTIFS(Overall!$C$2:$C$1000,"LMF",Overall!$F$2:$F$1000,"&gt;"&amp;C64)+1)</f>
        <v/>
      </c>
      <c r="B64" s="11" t="str">
        <f aca="false">IFERROR(INDEX(Overall!$B$2:$B$1000,MATCH("LMF|63",Overall!$I$2:$I$1000,0)),"")</f>
        <v/>
      </c>
      <c r="C64" s="19" t="str">
        <f aca="false">IFERROR(INDEX(Overall!$F$2:$F$1000,MATCH("LMF|63",Overall!$I$2:$I$1000,0)),"")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IF(B65="","",COUNTIFS(Overall!$C$2:$C$1000,"LMF",Overall!$F$2:$F$1000,"&gt;"&amp;C65)+1)</f>
        <v/>
      </c>
      <c r="B65" s="11" t="str">
        <f aca="false">IFERROR(INDEX(Overall!$B$2:$B$1000,MATCH("LMF|64",Overall!$I$2:$I$1000,0)),"")</f>
        <v/>
      </c>
      <c r="C65" s="19" t="str">
        <f aca="false">IFERROR(INDEX(Overall!$F$2:$F$1000,MATCH("LMF|64",Overall!$I$2:$I$1000,0)),"")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IF(B66="","",COUNTIFS(Overall!$C$2:$C$1000,"LMF",Overall!$F$2:$F$1000,"&gt;"&amp;C66)+1)</f>
        <v/>
      </c>
      <c r="B66" s="11" t="str">
        <f aca="false">IFERROR(INDEX(Overall!$B$2:$B$1000,MATCH("LMF|65",Overall!$I$2:$I$1000,0)),"")</f>
        <v/>
      </c>
      <c r="C66" s="19" t="str">
        <f aca="false">IFERROR(INDEX(Overall!$F$2:$F$1000,MATCH("LMF|65",Overall!$I$2:$I$1000,0)),"")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IF(B67="","",COUNTIFS(Overall!$C$2:$C$1000,"LMF",Overall!$F$2:$F$1000,"&gt;"&amp;C67)+1)</f>
        <v/>
      </c>
      <c r="B67" s="11" t="str">
        <f aca="false">IFERROR(INDEX(Overall!$B$2:$B$1000,MATCH("LMF|66",Overall!$I$2:$I$1000,0)),"")</f>
        <v/>
      </c>
      <c r="C67" s="19" t="str">
        <f aca="false">IFERROR(INDEX(Overall!$F$2:$F$1000,MATCH("LMF|66",Overall!$I$2:$I$1000,0)),"")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IF(B68="","",COUNTIFS(Overall!$C$2:$C$1000,"LMF",Overall!$F$2:$F$1000,"&gt;"&amp;C68)+1)</f>
        <v/>
      </c>
      <c r="B68" s="11" t="str">
        <f aca="false">IFERROR(INDEX(Overall!$B$2:$B$1000,MATCH("LMF|67",Overall!$I$2:$I$1000,0)),"")</f>
        <v/>
      </c>
      <c r="C68" s="19" t="str">
        <f aca="false">IFERROR(INDEX(Overall!$F$2:$F$1000,MATCH("LMF|67",Overall!$I$2:$I$1000,0)),"")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IF(B69="","",COUNTIFS(Overall!$C$2:$C$1000,"LMF",Overall!$F$2:$F$1000,"&gt;"&amp;C69)+1)</f>
        <v/>
      </c>
      <c r="B69" s="11" t="str">
        <f aca="false">IFERROR(INDEX(Overall!$B$2:$B$1000,MATCH("LMF|68",Overall!$I$2:$I$1000,0)),"")</f>
        <v/>
      </c>
      <c r="C69" s="19" t="str">
        <f aca="false">IFERROR(INDEX(Overall!$F$2:$F$1000,MATCH("LMF|68",Overall!$I$2:$I$1000,0)),"")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IF(B70="","",COUNTIFS(Overall!$C$2:$C$1000,"LMF",Overall!$F$2:$F$1000,"&gt;"&amp;C70)+1)</f>
        <v/>
      </c>
      <c r="B70" s="11" t="str">
        <f aca="false">IFERROR(INDEX(Overall!$B$2:$B$1000,MATCH("LMF|69",Overall!$I$2:$I$1000,0)),"")</f>
        <v/>
      </c>
      <c r="C70" s="19" t="str">
        <f aca="false">IFERROR(INDEX(Overall!$F$2:$F$1000,MATCH("LMF|69",Overall!$I$2:$I$1000,0)),"")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IF(B71="","",COUNTIFS(Overall!$C$2:$C$1000,"LMF",Overall!$F$2:$F$1000,"&gt;"&amp;C71)+1)</f>
        <v/>
      </c>
      <c r="B71" s="11" t="str">
        <f aca="false">IFERROR(INDEX(Overall!$B$2:$B$1000,MATCH("LMF|70",Overall!$I$2:$I$1000,0)),"")</f>
        <v/>
      </c>
      <c r="C71" s="19" t="str">
        <f aca="false">IFERROR(INDEX(Overall!$F$2:$F$1000,MATCH("LMF|70",Overall!$I$2:$I$1000,0)),"")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IF(B72="","",COUNTIFS(Overall!$C$2:$C$1000,"LMF",Overall!$F$2:$F$1000,"&gt;"&amp;C72)+1)</f>
        <v/>
      </c>
      <c r="B72" s="11" t="str">
        <f aca="false">IFERROR(INDEX(Overall!$B$2:$B$1000,MATCH("LMF|71",Overall!$I$2:$I$1000,0)),"")</f>
        <v/>
      </c>
      <c r="C72" s="19" t="str">
        <f aca="false">IFERROR(INDEX(Overall!$F$2:$F$1000,MATCH("LMF|71",Overall!$I$2:$I$1000,0)),"")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IF(B73="","",COUNTIFS(Overall!$C$2:$C$1000,"LMF",Overall!$F$2:$F$1000,"&gt;"&amp;C73)+1)</f>
        <v/>
      </c>
      <c r="B73" s="11" t="str">
        <f aca="false">IFERROR(INDEX(Overall!$B$2:$B$1000,MATCH("LMF|72",Overall!$I$2:$I$1000,0)),"")</f>
        <v/>
      </c>
      <c r="C73" s="19" t="str">
        <f aca="false">IFERROR(INDEX(Overall!$F$2:$F$1000,MATCH("LMF|72",Overall!$I$2:$I$1000,0)),"")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IF(B74="","",COUNTIFS(Overall!$C$2:$C$1000,"LMF",Overall!$F$2:$F$1000,"&gt;"&amp;C74)+1)</f>
        <v/>
      </c>
      <c r="B74" s="11" t="str">
        <f aca="false">IFERROR(INDEX(Overall!$B$2:$B$1000,MATCH("LMF|73",Overall!$I$2:$I$1000,0)),"")</f>
        <v/>
      </c>
      <c r="C74" s="19" t="str">
        <f aca="false">IFERROR(INDEX(Overall!$F$2:$F$1000,MATCH("LMF|73",Overall!$I$2:$I$1000,0)),"")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IF(B75="","",COUNTIFS(Overall!$C$2:$C$1000,"LMF",Overall!$F$2:$F$1000,"&gt;"&amp;C75)+1)</f>
        <v/>
      </c>
      <c r="B75" s="11" t="str">
        <f aca="false">IFERROR(INDEX(Overall!$B$2:$B$1000,MATCH("LMF|74",Overall!$I$2:$I$1000,0)),"")</f>
        <v/>
      </c>
      <c r="C75" s="19" t="str">
        <f aca="false">IFERROR(INDEX(Overall!$F$2:$F$1000,MATCH("LMF|74",Overall!$I$2:$I$1000,0)),"")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IF(B76="","",COUNTIFS(Overall!$C$2:$C$1000,"LMF",Overall!$F$2:$F$1000,"&gt;"&amp;C76)+1)</f>
        <v/>
      </c>
      <c r="B76" s="11" t="str">
        <f aca="false">IFERROR(INDEX(Overall!$B$2:$B$1000,MATCH("LMF|75",Overall!$I$2:$I$1000,0)),"")</f>
        <v/>
      </c>
      <c r="C76" s="19" t="str">
        <f aca="false">IFERROR(INDEX(Overall!$F$2:$F$1000,MATCH("LMF|75",Overall!$I$2:$I$1000,0)),"")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IF(B77="","",COUNTIFS(Overall!$C$2:$C$1000,"LMF",Overall!$F$2:$F$1000,"&gt;"&amp;C77)+1)</f>
        <v/>
      </c>
      <c r="B77" s="11" t="str">
        <f aca="false">IFERROR(INDEX(Overall!$B$2:$B$1000,MATCH("LMF|76",Overall!$I$2:$I$1000,0)),"")</f>
        <v/>
      </c>
      <c r="C77" s="19" t="str">
        <f aca="false">IFERROR(INDEX(Overall!$F$2:$F$1000,MATCH("LMF|76",Overall!$I$2:$I$1000,0)),"")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IF(B78="","",COUNTIFS(Overall!$C$2:$C$1000,"LMF",Overall!$F$2:$F$1000,"&gt;"&amp;C78)+1)</f>
        <v/>
      </c>
      <c r="B78" s="11" t="str">
        <f aca="false">IFERROR(INDEX(Overall!$B$2:$B$1000,MATCH("LMF|77",Overall!$I$2:$I$1000,0)),"")</f>
        <v/>
      </c>
      <c r="C78" s="19" t="str">
        <f aca="false">IFERROR(INDEX(Overall!$F$2:$F$1000,MATCH("LMF|77",Overall!$I$2:$I$1000,0)),"")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IF(B79="","",COUNTIFS(Overall!$C$2:$C$1000,"LMF",Overall!$F$2:$F$1000,"&gt;"&amp;C79)+1)</f>
        <v/>
      </c>
      <c r="B79" s="11" t="str">
        <f aca="false">IFERROR(INDEX(Overall!$B$2:$B$1000,MATCH("LMF|78",Overall!$I$2:$I$1000,0)),"")</f>
        <v/>
      </c>
      <c r="C79" s="19" t="str">
        <f aca="false">IFERROR(INDEX(Overall!$F$2:$F$1000,MATCH("LMF|78",Overall!$I$2:$I$1000,0)),"")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IF(B80="","",COUNTIFS(Overall!$C$2:$C$1000,"LMF",Overall!$F$2:$F$1000,"&gt;"&amp;C80)+1)</f>
        <v/>
      </c>
      <c r="B80" s="11" t="str">
        <f aca="false">IFERROR(INDEX(Overall!$B$2:$B$1000,MATCH("LMF|79",Overall!$I$2:$I$1000,0)),"")</f>
        <v/>
      </c>
      <c r="C80" s="19" t="str">
        <f aca="false">IFERROR(INDEX(Overall!$F$2:$F$1000,MATCH("LMF|79",Overall!$I$2:$I$1000,0)),"")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IF(B81="","",COUNTIFS(Overall!$C$2:$C$1000,"LMF",Overall!$F$2:$F$1000,"&gt;"&amp;C81)+1)</f>
        <v/>
      </c>
      <c r="B81" s="11" t="str">
        <f aca="false">IFERROR(INDEX(Overall!$B$2:$B$1000,MATCH("LMF|80",Overall!$I$2:$I$1000,0)),"")</f>
        <v/>
      </c>
      <c r="C81" s="19" t="str">
        <f aca="false">IFERROR(INDEX(Overall!$F$2:$F$1000,MATCH("LMF|80",Overall!$I$2:$I$1000,0)),"")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IF(B82="","",COUNTIFS(Overall!$C$2:$C$1000,"LMF",Overall!$F$2:$F$1000,"&gt;"&amp;C82)+1)</f>
        <v/>
      </c>
      <c r="B82" s="11" t="str">
        <f aca="false">IFERROR(INDEX(Overall!$B$2:$B$1000,MATCH("LMF|81",Overall!$I$2:$I$1000,0)),"")</f>
        <v/>
      </c>
      <c r="C82" s="19" t="str">
        <f aca="false">IFERROR(INDEX(Overall!$F$2:$F$1000,MATCH("LMF|81",Overall!$I$2:$I$1000,0)),"")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IF(B83="","",COUNTIFS(Overall!$C$2:$C$1000,"LMF",Overall!$F$2:$F$1000,"&gt;"&amp;C83)+1)</f>
        <v/>
      </c>
      <c r="B83" s="11" t="str">
        <f aca="false">IFERROR(INDEX(Overall!$B$2:$B$1000,MATCH("LMF|82",Overall!$I$2:$I$1000,0)),"")</f>
        <v/>
      </c>
      <c r="C83" s="19" t="str">
        <f aca="false">IFERROR(INDEX(Overall!$F$2:$F$1000,MATCH("LMF|82",Overall!$I$2:$I$1000,0)),"")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IF(B84="","",COUNTIFS(Overall!$C$2:$C$1000,"LMF",Overall!$F$2:$F$1000,"&gt;"&amp;C84)+1)</f>
        <v/>
      </c>
      <c r="B84" s="11" t="str">
        <f aca="false">IFERROR(INDEX(Overall!$B$2:$B$1000,MATCH("LMF|83",Overall!$I$2:$I$1000,0)),"")</f>
        <v/>
      </c>
      <c r="C84" s="19" t="str">
        <f aca="false">IFERROR(INDEX(Overall!$F$2:$F$1000,MATCH("LMF|83",Overall!$I$2:$I$1000,0)),"")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IF(B85="","",COUNTIFS(Overall!$C$2:$C$1000,"LMF",Overall!$F$2:$F$1000,"&gt;"&amp;C85)+1)</f>
        <v/>
      </c>
      <c r="B85" s="11" t="str">
        <f aca="false">IFERROR(INDEX(Overall!$B$2:$B$1000,MATCH("LMF|84",Overall!$I$2:$I$1000,0)),"")</f>
        <v/>
      </c>
      <c r="C85" s="19" t="str">
        <f aca="false">IFERROR(INDEX(Overall!$F$2:$F$1000,MATCH("LMF|84",Overall!$I$2:$I$1000,0)),"")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IF(B86="","",COUNTIFS(Overall!$C$2:$C$1000,"LMF",Overall!$F$2:$F$1000,"&gt;"&amp;C86)+1)</f>
        <v/>
      </c>
      <c r="B86" s="11" t="str">
        <f aca="false">IFERROR(INDEX(Overall!$B$2:$B$1000,MATCH("LMF|85",Overall!$I$2:$I$1000,0)),"")</f>
        <v/>
      </c>
      <c r="C86" s="19" t="str">
        <f aca="false">IFERROR(INDEX(Overall!$F$2:$F$1000,MATCH("LMF|85",Overall!$I$2:$I$1000,0)),"")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IF(B87="","",COUNTIFS(Overall!$C$2:$C$1000,"LMF",Overall!$F$2:$F$1000,"&gt;"&amp;C87)+1)</f>
        <v/>
      </c>
      <c r="B87" s="11" t="str">
        <f aca="false">IFERROR(INDEX(Overall!$B$2:$B$1000,MATCH("LMF|86",Overall!$I$2:$I$1000,0)),"")</f>
        <v/>
      </c>
      <c r="C87" s="19" t="str">
        <f aca="false">IFERROR(INDEX(Overall!$F$2:$F$1000,MATCH("LMF|86",Overall!$I$2:$I$1000,0)),"")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IF(B88="","",COUNTIFS(Overall!$C$2:$C$1000,"LMF",Overall!$F$2:$F$1000,"&gt;"&amp;C88)+1)</f>
        <v/>
      </c>
      <c r="B88" s="11" t="str">
        <f aca="false">IFERROR(INDEX(Overall!$B$2:$B$1000,MATCH("LMF|87",Overall!$I$2:$I$1000,0)),"")</f>
        <v/>
      </c>
      <c r="C88" s="19" t="str">
        <f aca="false">IFERROR(INDEX(Overall!$F$2:$F$1000,MATCH("LMF|87",Overall!$I$2:$I$1000,0)),"")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IF(B89="","",COUNTIFS(Overall!$C$2:$C$1000,"LMF",Overall!$F$2:$F$1000,"&gt;"&amp;C89)+1)</f>
        <v/>
      </c>
      <c r="B89" s="11" t="str">
        <f aca="false">IFERROR(INDEX(Overall!$B$2:$B$1000,MATCH("LMF|88",Overall!$I$2:$I$1000,0)),"")</f>
        <v/>
      </c>
      <c r="C89" s="19" t="str">
        <f aca="false">IFERROR(INDEX(Overall!$F$2:$F$1000,MATCH("LMF|88",Overall!$I$2:$I$1000,0)),"")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IF(B90="","",COUNTIFS(Overall!$C$2:$C$1000,"LMF",Overall!$F$2:$F$1000,"&gt;"&amp;C90)+1)</f>
        <v/>
      </c>
      <c r="B90" s="11" t="str">
        <f aca="false">IFERROR(INDEX(Overall!$B$2:$B$1000,MATCH("LMF|89",Overall!$I$2:$I$1000,0)),"")</f>
        <v/>
      </c>
      <c r="C90" s="19" t="str">
        <f aca="false">IFERROR(INDEX(Overall!$F$2:$F$1000,MATCH("LMF|89",Overall!$I$2:$I$1000,0)),"")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IF(B91="","",COUNTIFS(Overall!$C$2:$C$1000,"LMF",Overall!$F$2:$F$1000,"&gt;"&amp;C91)+1)</f>
        <v/>
      </c>
      <c r="B91" s="11" t="str">
        <f aca="false">IFERROR(INDEX(Overall!$B$2:$B$1000,MATCH("LMF|90",Overall!$I$2:$I$1000,0)),"")</f>
        <v/>
      </c>
      <c r="C91" s="19" t="str">
        <f aca="false">IFERROR(INDEX(Overall!$F$2:$F$1000,MATCH("LMF|90",Overall!$I$2:$I$1000,0)),"")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IF(B92="","",COUNTIFS(Overall!$C$2:$C$1000,"LMF",Overall!$F$2:$F$1000,"&gt;"&amp;C92)+1)</f>
        <v/>
      </c>
      <c r="B92" s="11" t="str">
        <f aca="false">IFERROR(INDEX(Overall!$B$2:$B$1000,MATCH("LMF|91",Overall!$I$2:$I$1000,0)),"")</f>
        <v/>
      </c>
      <c r="C92" s="19" t="str">
        <f aca="false">IFERROR(INDEX(Overall!$F$2:$F$1000,MATCH("LMF|91",Overall!$I$2:$I$1000,0)),"")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IF(B93="","",COUNTIFS(Overall!$C$2:$C$1000,"LMF",Overall!$F$2:$F$1000,"&gt;"&amp;C93)+1)</f>
        <v/>
      </c>
      <c r="B93" s="11" t="str">
        <f aca="false">IFERROR(INDEX(Overall!$B$2:$B$1000,MATCH("LMF|92",Overall!$I$2:$I$1000,0)),"")</f>
        <v/>
      </c>
      <c r="C93" s="19" t="str">
        <f aca="false">IFERROR(INDEX(Overall!$F$2:$F$1000,MATCH("LMF|92",Overall!$I$2:$I$1000,0)),"")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IF(B94="","",COUNTIFS(Overall!$C$2:$C$1000,"LMF",Overall!$F$2:$F$1000,"&gt;"&amp;C94)+1)</f>
        <v/>
      </c>
      <c r="B94" s="11" t="str">
        <f aca="false">IFERROR(INDEX(Overall!$B$2:$B$1000,MATCH("LMF|93",Overall!$I$2:$I$1000,0)),"")</f>
        <v/>
      </c>
      <c r="C94" s="19" t="str">
        <f aca="false">IFERROR(INDEX(Overall!$F$2:$F$1000,MATCH("LMF|93",Overall!$I$2:$I$1000,0)),"")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IF(B95="","",COUNTIFS(Overall!$C$2:$C$1000,"LMF",Overall!$F$2:$F$1000,"&gt;"&amp;C95)+1)</f>
        <v/>
      </c>
      <c r="B95" s="11" t="str">
        <f aca="false">IFERROR(INDEX(Overall!$B$2:$B$1000,MATCH("LMF|94",Overall!$I$2:$I$1000,0)),"")</f>
        <v/>
      </c>
      <c r="C95" s="19" t="str">
        <f aca="false">IFERROR(INDEX(Overall!$F$2:$F$1000,MATCH("LMF|94",Overall!$I$2:$I$1000,0)),"")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IF(B96="","",COUNTIFS(Overall!$C$2:$C$1000,"LMF",Overall!$F$2:$F$1000,"&gt;"&amp;C96)+1)</f>
        <v/>
      </c>
      <c r="B96" s="11" t="str">
        <f aca="false">IFERROR(INDEX(Overall!$B$2:$B$1000,MATCH("LMF|95",Overall!$I$2:$I$1000,0)),"")</f>
        <v/>
      </c>
      <c r="C96" s="19" t="str">
        <f aca="false">IFERROR(INDEX(Overall!$F$2:$F$1000,MATCH("LMF|95",Overall!$I$2:$I$1000,0)),"")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IF(B97="","",COUNTIFS(Overall!$C$2:$C$1000,"LMF",Overall!$F$2:$F$1000,"&gt;"&amp;C97)+1)</f>
        <v/>
      </c>
      <c r="B97" s="11" t="str">
        <f aca="false">IFERROR(INDEX(Overall!$B$2:$B$1000,MATCH("LMF|96",Overall!$I$2:$I$1000,0)),"")</f>
        <v/>
      </c>
      <c r="C97" s="19" t="str">
        <f aca="false">IFERROR(INDEX(Overall!$F$2:$F$1000,MATCH("LMF|96",Overall!$I$2:$I$1000,0)),"")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IF(B98="","",COUNTIFS(Overall!$C$2:$C$1000,"LMF",Overall!$F$2:$F$1000,"&gt;"&amp;C98)+1)</f>
        <v/>
      </c>
      <c r="B98" s="11" t="str">
        <f aca="false">IFERROR(INDEX(Overall!$B$2:$B$1000,MATCH("LMF|97",Overall!$I$2:$I$1000,0)),"")</f>
        <v/>
      </c>
      <c r="C98" s="19" t="str">
        <f aca="false">IFERROR(INDEX(Overall!$F$2:$F$1000,MATCH("LMF|97",Overall!$I$2:$I$1000,0)),"")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IF(B99="","",COUNTIFS(Overall!$C$2:$C$1000,"LMF",Overall!$F$2:$F$1000,"&gt;"&amp;C99)+1)</f>
        <v/>
      </c>
      <c r="B99" s="11" t="str">
        <f aca="false">IFERROR(INDEX(Overall!$B$2:$B$1000,MATCH("LMF|98",Overall!$I$2:$I$1000,0)),"")</f>
        <v/>
      </c>
      <c r="C99" s="19" t="str">
        <f aca="false">IFERROR(INDEX(Overall!$F$2:$F$1000,MATCH("LMF|98",Overall!$I$2:$I$1000,0)),"")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IF(B100="","",COUNTIFS(Overall!$C$2:$C$1000,"LMF",Overall!$F$2:$F$1000,"&gt;"&amp;C100)+1)</f>
        <v/>
      </c>
      <c r="B100" s="11" t="str">
        <f aca="false">IFERROR(INDEX(Overall!$B$2:$B$1000,MATCH("LMF|99",Overall!$I$2:$I$1000,0)),"")</f>
        <v/>
      </c>
      <c r="C100" s="19" t="str">
        <f aca="false">IFERROR(INDEX(Overall!$F$2:$F$1000,MATCH("LMF|99",Overall!$I$2:$I$1000,0)),"")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IF(B101="","",COUNTIFS(Overall!$C$2:$C$1000,"LMF",Overall!$F$2:$F$1000,"&gt;"&amp;C101)+1)</f>
        <v/>
      </c>
      <c r="B101" s="11" t="str">
        <f aca="false">IFERROR(INDEX(Overall!$B$2:$B$1000,MATCH("LMF|100",Overall!$I$2:$I$1000,0)),"")</f>
        <v/>
      </c>
      <c r="C101" s="19" t="str">
        <f aca="false">IFERROR(INDEX(Overall!$F$2:$F$1000,MATCH("LMF|100",Overall!$I$2:$I$1000,0)),"")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IF(B102="","",COUNTIFS(Overall!$C$2:$C$1000,"LMF",Overall!$F$2:$F$1000,"&gt;"&amp;C102)+1)</f>
        <v/>
      </c>
      <c r="B102" s="11" t="str">
        <f aca="false">IFERROR(INDEX(Overall!$B$2:$B$1000,MATCH("LMF|101",Overall!$I$2:$I$1000,0)),"")</f>
        <v/>
      </c>
      <c r="C102" s="19" t="str">
        <f aca="false">IFERROR(INDEX(Overall!$F$2:$F$1000,MATCH("LMF|101",Overall!$I$2:$I$1000,0)),"")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IF(B103="","",COUNTIFS(Overall!$C$2:$C$1000,"LMF",Overall!$F$2:$F$1000,"&gt;"&amp;C103)+1)</f>
        <v/>
      </c>
      <c r="B103" s="11" t="str">
        <f aca="false">IFERROR(INDEX(Overall!$B$2:$B$1000,MATCH("LMF|102",Overall!$I$2:$I$1000,0)),"")</f>
        <v/>
      </c>
      <c r="C103" s="19" t="str">
        <f aca="false">IFERROR(INDEX(Overall!$F$2:$F$1000,MATCH("LMF|102",Overall!$I$2:$I$1000,0)),"")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IF(B104="","",COUNTIFS(Overall!$C$2:$C$1000,"LMF",Overall!$F$2:$F$1000,"&gt;"&amp;C104)+1)</f>
        <v/>
      </c>
      <c r="B104" s="11" t="str">
        <f aca="false">IFERROR(INDEX(Overall!$B$2:$B$1000,MATCH("LMF|103",Overall!$I$2:$I$1000,0)),"")</f>
        <v/>
      </c>
      <c r="C104" s="19" t="str">
        <f aca="false">IFERROR(INDEX(Overall!$F$2:$F$1000,MATCH("LMF|103",Overall!$I$2:$I$1000,0)),"")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IF(B105="","",COUNTIFS(Overall!$C$2:$C$1000,"LMF",Overall!$F$2:$F$1000,"&gt;"&amp;C105)+1)</f>
        <v/>
      </c>
      <c r="B105" s="11" t="str">
        <f aca="false">IFERROR(INDEX(Overall!$B$2:$B$1000,MATCH("LMF|104",Overall!$I$2:$I$1000,0)),"")</f>
        <v/>
      </c>
      <c r="C105" s="19" t="str">
        <f aca="false">IFERROR(INDEX(Overall!$F$2:$F$1000,MATCH("LMF|104",Overall!$I$2:$I$1000,0)),"")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IF(B106="","",COUNTIFS(Overall!$C$2:$C$1000,"LMF",Overall!$F$2:$F$1000,"&gt;"&amp;C106)+1)</f>
        <v/>
      </c>
      <c r="B106" s="11" t="str">
        <f aca="false">IFERROR(INDEX(Overall!$B$2:$B$1000,MATCH("LMF|105",Overall!$I$2:$I$1000,0)),"")</f>
        <v/>
      </c>
      <c r="C106" s="19" t="str">
        <f aca="false">IFERROR(INDEX(Overall!$F$2:$F$1000,MATCH("LMF|105",Overall!$I$2:$I$1000,0)),"")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IF(B107="","",COUNTIFS(Overall!$C$2:$C$1000,"LMF",Overall!$F$2:$F$1000,"&gt;"&amp;C107)+1)</f>
        <v/>
      </c>
      <c r="B107" s="11" t="str">
        <f aca="false">IFERROR(INDEX(Overall!$B$2:$B$1000,MATCH("LMF|106",Overall!$I$2:$I$1000,0)),"")</f>
        <v/>
      </c>
      <c r="C107" s="19" t="str">
        <f aca="false">IFERROR(INDEX(Overall!$F$2:$F$1000,MATCH("LMF|106",Overall!$I$2:$I$1000,0)),"")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IF(B108="","",COUNTIFS(Overall!$C$2:$C$1000,"LMF",Overall!$F$2:$F$1000,"&gt;"&amp;C108)+1)</f>
        <v/>
      </c>
      <c r="B108" s="11" t="str">
        <f aca="false">IFERROR(INDEX(Overall!$B$2:$B$1000,MATCH("LMF|107",Overall!$I$2:$I$1000,0)),"")</f>
        <v/>
      </c>
      <c r="C108" s="19" t="str">
        <f aca="false">IFERROR(INDEX(Overall!$F$2:$F$1000,MATCH("LMF|107",Overall!$I$2:$I$1000,0)),"")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IF(B109="","",COUNTIFS(Overall!$C$2:$C$1000,"LMF",Overall!$F$2:$F$1000,"&gt;"&amp;C109)+1)</f>
        <v/>
      </c>
      <c r="B109" s="11" t="str">
        <f aca="false">IFERROR(INDEX(Overall!$B$2:$B$1000,MATCH("LMF|108",Overall!$I$2:$I$1000,0)),"")</f>
        <v/>
      </c>
      <c r="C109" s="19" t="str">
        <f aca="false">IFERROR(INDEX(Overall!$F$2:$F$1000,MATCH("LMF|108",Overall!$I$2:$I$1000,0)),"")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IF(B110="","",COUNTIFS(Overall!$C$2:$C$1000,"LMF",Overall!$F$2:$F$1000,"&gt;"&amp;C110)+1)</f>
        <v/>
      </c>
      <c r="B110" s="11" t="str">
        <f aca="false">IFERROR(INDEX(Overall!$B$2:$B$1000,MATCH("LMF|109",Overall!$I$2:$I$1000,0)),"")</f>
        <v/>
      </c>
      <c r="C110" s="19" t="str">
        <f aca="false">IFERROR(INDEX(Overall!$F$2:$F$1000,MATCH("LMF|109",Overall!$I$2:$I$1000,0)),"")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IF(B111="","",COUNTIFS(Overall!$C$2:$C$1000,"LMF",Overall!$F$2:$F$1000,"&gt;"&amp;C111)+1)</f>
        <v/>
      </c>
      <c r="B111" s="11" t="str">
        <f aca="false">IFERROR(INDEX(Overall!$B$2:$B$1000,MATCH("LMF|110",Overall!$I$2:$I$1000,0)),"")</f>
        <v/>
      </c>
      <c r="C111" s="19" t="str">
        <f aca="false">IFERROR(INDEX(Overall!$F$2:$F$1000,MATCH("LMF|110",Overall!$I$2:$I$1000,0)),"")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IF(B112="","",COUNTIFS(Overall!$C$2:$C$1000,"LMF",Overall!$F$2:$F$1000,"&gt;"&amp;C112)+1)</f>
        <v/>
      </c>
      <c r="B112" s="11" t="str">
        <f aca="false">IFERROR(INDEX(Overall!$B$2:$B$1000,MATCH("LMF|111",Overall!$I$2:$I$1000,0)),"")</f>
        <v/>
      </c>
      <c r="C112" s="19" t="str">
        <f aca="false">IFERROR(INDEX(Overall!$F$2:$F$1000,MATCH("LMF|111",Overall!$I$2:$I$1000,0)),"")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IF(B113="","",COUNTIFS(Overall!$C$2:$C$1000,"LMF",Overall!$F$2:$F$1000,"&gt;"&amp;C113)+1)</f>
        <v/>
      </c>
      <c r="B113" s="11" t="str">
        <f aca="false">IFERROR(INDEX(Overall!$B$2:$B$1000,MATCH("LMF|112",Overall!$I$2:$I$1000,0)),"")</f>
        <v/>
      </c>
      <c r="C113" s="19" t="str">
        <f aca="false">IFERROR(INDEX(Overall!$F$2:$F$1000,MATCH("LMF|112",Overall!$I$2:$I$1000,0)),"")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IF(B114="","",COUNTIFS(Overall!$C$2:$C$1000,"LMF",Overall!$F$2:$F$1000,"&gt;"&amp;C114)+1)</f>
        <v/>
      </c>
      <c r="B114" s="11" t="str">
        <f aca="false">IFERROR(INDEX(Overall!$B$2:$B$1000,MATCH("LMF|113",Overall!$I$2:$I$1000,0)),"")</f>
        <v/>
      </c>
      <c r="C114" s="19" t="str">
        <f aca="false">IFERROR(INDEX(Overall!$F$2:$F$1000,MATCH("LMF|113",Overall!$I$2:$I$1000,0)),"")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IF(B115="","",COUNTIFS(Overall!$C$2:$C$1000,"LMF",Overall!$F$2:$F$1000,"&gt;"&amp;C115)+1)</f>
        <v/>
      </c>
      <c r="B115" s="11" t="str">
        <f aca="false">IFERROR(INDEX(Overall!$B$2:$B$1000,MATCH("LMF|114",Overall!$I$2:$I$1000,0)),"")</f>
        <v/>
      </c>
      <c r="C115" s="19" t="str">
        <f aca="false">IFERROR(INDEX(Overall!$F$2:$F$1000,MATCH("LMF|114",Overall!$I$2:$I$1000,0)),"")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IF(B116="","",COUNTIFS(Overall!$C$2:$C$1000,"LMF",Overall!$F$2:$F$1000,"&gt;"&amp;C116)+1)</f>
        <v/>
      </c>
      <c r="B116" s="11" t="str">
        <f aca="false">IFERROR(INDEX(Overall!$B$2:$B$1000,MATCH("LMF|115",Overall!$I$2:$I$1000,0)),"")</f>
        <v/>
      </c>
      <c r="C116" s="19" t="str">
        <f aca="false">IFERROR(INDEX(Overall!$F$2:$F$1000,MATCH("LMF|115",Overall!$I$2:$I$1000,0)),"")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IF(B117="","",COUNTIFS(Overall!$C$2:$C$1000,"LMF",Overall!$F$2:$F$1000,"&gt;"&amp;C117)+1)</f>
        <v/>
      </c>
      <c r="B117" s="11" t="str">
        <f aca="false">IFERROR(INDEX(Overall!$B$2:$B$1000,MATCH("LMF|116",Overall!$I$2:$I$1000,0)),"")</f>
        <v/>
      </c>
      <c r="C117" s="19" t="str">
        <f aca="false">IFERROR(INDEX(Overall!$F$2:$F$1000,MATCH("LMF|116",Overall!$I$2:$I$1000,0)),"")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IF(B118="","",COUNTIFS(Overall!$C$2:$C$1000,"LMF",Overall!$F$2:$F$1000,"&gt;"&amp;C118)+1)</f>
        <v/>
      </c>
      <c r="B118" s="11" t="str">
        <f aca="false">IFERROR(INDEX(Overall!$B$2:$B$1000,MATCH("LMF|117",Overall!$I$2:$I$1000,0)),"")</f>
        <v/>
      </c>
      <c r="C118" s="19" t="str">
        <f aca="false">IFERROR(INDEX(Overall!$F$2:$F$1000,MATCH("LMF|117",Overall!$I$2:$I$1000,0)),"")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IF(B119="","",COUNTIFS(Overall!$C$2:$C$1000,"LMF",Overall!$F$2:$F$1000,"&gt;"&amp;C119)+1)</f>
        <v/>
      </c>
      <c r="B119" s="11" t="str">
        <f aca="false">IFERROR(INDEX(Overall!$B$2:$B$1000,MATCH("LMF|118",Overall!$I$2:$I$1000,0)),"")</f>
        <v/>
      </c>
      <c r="C119" s="19" t="str">
        <f aca="false">IFERROR(INDEX(Overall!$F$2:$F$1000,MATCH("LMF|118",Overall!$I$2:$I$1000,0)),"")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IF(B120="","",COUNTIFS(Overall!$C$2:$C$1000,"LMF",Overall!$F$2:$F$1000,"&gt;"&amp;C120)+1)</f>
        <v/>
      </c>
      <c r="B120" s="11" t="str">
        <f aca="false">IFERROR(INDEX(Overall!$B$2:$B$1000,MATCH("LMF|119",Overall!$I$2:$I$1000,0)),"")</f>
        <v/>
      </c>
      <c r="C120" s="19" t="str">
        <f aca="false">IFERROR(INDEX(Overall!$F$2:$F$1000,MATCH("LMF|119",Overall!$I$2:$I$1000,0)),"")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IF(B121="","",COUNTIFS(Overall!$C$2:$C$1000,"LMF",Overall!$F$2:$F$1000,"&gt;"&amp;C121)+1)</f>
        <v/>
      </c>
      <c r="B121" s="11" t="str">
        <f aca="false">IFERROR(INDEX(Overall!$B$2:$B$1000,MATCH("LMF|120",Overall!$I$2:$I$1000,0)),"")</f>
        <v/>
      </c>
      <c r="C121" s="19" t="str">
        <f aca="false">IFERROR(INDEX(Overall!$F$2:$F$1000,MATCH("LMF|120",Overall!$I$2:$I$1000,0)),"")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IF(B122="","",COUNTIFS(Overall!$C$2:$C$1000,"LMF",Overall!$F$2:$F$1000,"&gt;"&amp;C122)+1)</f>
        <v/>
      </c>
      <c r="B122" s="11" t="str">
        <f aca="false">IFERROR(INDEX(Overall!$B$2:$B$1000,MATCH("LMF|121",Overall!$I$2:$I$1000,0)),"")</f>
        <v/>
      </c>
      <c r="C122" s="19" t="str">
        <f aca="false">IFERROR(INDEX(Overall!$F$2:$F$1000,MATCH("LMF|121",Overall!$I$2:$I$1000,0)),"")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IF(B123="","",COUNTIFS(Overall!$C$2:$C$1000,"LMF",Overall!$F$2:$F$1000,"&gt;"&amp;C123)+1)</f>
        <v/>
      </c>
      <c r="B123" s="11" t="str">
        <f aca="false">IFERROR(INDEX(Overall!$B$2:$B$1000,MATCH("LMF|122",Overall!$I$2:$I$1000,0)),"")</f>
        <v/>
      </c>
      <c r="C123" s="19" t="str">
        <f aca="false">IFERROR(INDEX(Overall!$F$2:$F$1000,MATCH("LMF|122",Overall!$I$2:$I$1000,0)),"")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IF(B124="","",COUNTIFS(Overall!$C$2:$C$1000,"LMF",Overall!$F$2:$F$1000,"&gt;"&amp;C124)+1)</f>
        <v/>
      </c>
      <c r="B124" s="11" t="str">
        <f aca="false">IFERROR(INDEX(Overall!$B$2:$B$1000,MATCH("LMF|123",Overall!$I$2:$I$1000,0)),"")</f>
        <v/>
      </c>
      <c r="C124" s="19" t="str">
        <f aca="false">IFERROR(INDEX(Overall!$F$2:$F$1000,MATCH("LMF|123",Overall!$I$2:$I$1000,0)),"")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IF(B125="","",COUNTIFS(Overall!$C$2:$C$1000,"LMF",Overall!$F$2:$F$1000,"&gt;"&amp;C125)+1)</f>
        <v/>
      </c>
      <c r="B125" s="11" t="str">
        <f aca="false">IFERROR(INDEX(Overall!$B$2:$B$1000,MATCH("LMF|124",Overall!$I$2:$I$1000,0)),"")</f>
        <v/>
      </c>
      <c r="C125" s="19" t="str">
        <f aca="false">IFERROR(INDEX(Overall!$F$2:$F$1000,MATCH("LMF|124",Overall!$I$2:$I$1000,0)),"")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IF(B126="","",COUNTIFS(Overall!$C$2:$C$1000,"LMF",Overall!$F$2:$F$1000,"&gt;"&amp;C126)+1)</f>
        <v/>
      </c>
      <c r="B126" s="11" t="str">
        <f aca="false">IFERROR(INDEX(Overall!$B$2:$B$1000,MATCH("LMF|125",Overall!$I$2:$I$1000,0)),"")</f>
        <v/>
      </c>
      <c r="C126" s="19" t="str">
        <f aca="false">IFERROR(INDEX(Overall!$F$2:$F$1000,MATCH("LMF|125",Overall!$I$2:$I$1000,0)),"")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IF(B127="","",COUNTIFS(Overall!$C$2:$C$1000,"LMF",Overall!$F$2:$F$1000,"&gt;"&amp;C127)+1)</f>
        <v/>
      </c>
      <c r="B127" s="11" t="str">
        <f aca="false">IFERROR(INDEX(Overall!$B$2:$B$1000,MATCH("LMF|126",Overall!$I$2:$I$1000,0)),"")</f>
        <v/>
      </c>
      <c r="C127" s="19" t="str">
        <f aca="false">IFERROR(INDEX(Overall!$F$2:$F$1000,MATCH("LMF|126",Overall!$I$2:$I$1000,0)),"")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IF(B128="","",COUNTIFS(Overall!$C$2:$C$1000,"LMF",Overall!$F$2:$F$1000,"&gt;"&amp;C128)+1)</f>
        <v/>
      </c>
      <c r="B128" s="11" t="str">
        <f aca="false">IFERROR(INDEX(Overall!$B$2:$B$1000,MATCH("LMF|127",Overall!$I$2:$I$1000,0)),"")</f>
        <v/>
      </c>
      <c r="C128" s="19" t="str">
        <f aca="false">IFERROR(INDEX(Overall!$F$2:$F$1000,MATCH("LMF|127",Overall!$I$2:$I$1000,0)),"")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IF(B129="","",COUNTIFS(Overall!$C$2:$C$1000,"LMF",Overall!$F$2:$F$1000,"&gt;"&amp;C129)+1)</f>
        <v/>
      </c>
      <c r="B129" s="11" t="str">
        <f aca="false">IFERROR(INDEX(Overall!$B$2:$B$1000,MATCH("LMF|128",Overall!$I$2:$I$1000,0)),"")</f>
        <v/>
      </c>
      <c r="C129" s="19" t="str">
        <f aca="false">IFERROR(INDEX(Overall!$F$2:$F$1000,MATCH("LMF|128",Overall!$I$2:$I$1000,0)),"")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IF(B130="","",COUNTIFS(Overall!$C$2:$C$1000,"LMF",Overall!$F$2:$F$1000,"&gt;"&amp;C130)+1)</f>
        <v/>
      </c>
      <c r="B130" s="11" t="str">
        <f aca="false">IFERROR(INDEX(Overall!$B$2:$B$1000,MATCH("LMF|129",Overall!$I$2:$I$1000,0)),"")</f>
        <v/>
      </c>
      <c r="C130" s="19" t="str">
        <f aca="false">IFERROR(INDEX(Overall!$F$2:$F$1000,MATCH("LMF|129",Overall!$I$2:$I$1000,0)),"")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IF(B131="","",COUNTIFS(Overall!$C$2:$C$1000,"LMF",Overall!$F$2:$F$1000,"&gt;"&amp;C131)+1)</f>
        <v/>
      </c>
      <c r="B131" s="11" t="str">
        <f aca="false">IFERROR(INDEX(Overall!$B$2:$B$1000,MATCH("LMF|130",Overall!$I$2:$I$1000,0)),"")</f>
        <v/>
      </c>
      <c r="C131" s="19" t="str">
        <f aca="false">IFERROR(INDEX(Overall!$F$2:$F$1000,MATCH("LMF|130",Overall!$I$2:$I$1000,0)),"")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IF(B132="","",COUNTIFS(Overall!$C$2:$C$1000,"LMF",Overall!$F$2:$F$1000,"&gt;"&amp;C132)+1)</f>
        <v/>
      </c>
      <c r="B132" s="11" t="str">
        <f aca="false">IFERROR(INDEX(Overall!$B$2:$B$1000,MATCH("LMF|131",Overall!$I$2:$I$1000,0)),"")</f>
        <v/>
      </c>
      <c r="C132" s="19" t="str">
        <f aca="false">IFERROR(INDEX(Overall!$F$2:$F$1000,MATCH("LMF|131",Overall!$I$2:$I$1000,0)),"")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IF(B133="","",COUNTIFS(Overall!$C$2:$C$1000,"LMF",Overall!$F$2:$F$1000,"&gt;"&amp;C133)+1)</f>
        <v/>
      </c>
      <c r="B133" s="11" t="str">
        <f aca="false">IFERROR(INDEX(Overall!$B$2:$B$1000,MATCH("LMF|132",Overall!$I$2:$I$1000,0)),"")</f>
        <v/>
      </c>
      <c r="C133" s="19" t="str">
        <f aca="false">IFERROR(INDEX(Overall!$F$2:$F$1000,MATCH("LMF|132",Overall!$I$2:$I$1000,0)),"")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IF(B134="","",COUNTIFS(Overall!$C$2:$C$1000,"LMF",Overall!$F$2:$F$1000,"&gt;"&amp;C134)+1)</f>
        <v/>
      </c>
      <c r="B134" s="11" t="str">
        <f aca="false">IFERROR(INDEX(Overall!$B$2:$B$1000,MATCH("LMF|133",Overall!$I$2:$I$1000,0)),"")</f>
        <v/>
      </c>
      <c r="C134" s="19" t="str">
        <f aca="false">IFERROR(INDEX(Overall!$F$2:$F$1000,MATCH("LMF|133",Overall!$I$2:$I$1000,0)),"")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IF(B135="","",COUNTIFS(Overall!$C$2:$C$1000,"LMF",Overall!$F$2:$F$1000,"&gt;"&amp;C135)+1)</f>
        <v/>
      </c>
      <c r="B135" s="11" t="str">
        <f aca="false">IFERROR(INDEX(Overall!$B$2:$B$1000,MATCH("LMF|134",Overall!$I$2:$I$1000,0)),"")</f>
        <v/>
      </c>
      <c r="C135" s="19" t="str">
        <f aca="false">IFERROR(INDEX(Overall!$F$2:$F$1000,MATCH("LMF|134",Overall!$I$2:$I$1000,0)),"")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IF(B136="","",COUNTIFS(Overall!$C$2:$C$1000,"LMF",Overall!$F$2:$F$1000,"&gt;"&amp;C136)+1)</f>
        <v/>
      </c>
      <c r="B136" s="11" t="str">
        <f aca="false">IFERROR(INDEX(Overall!$B$2:$B$1000,MATCH("LMF|135",Overall!$I$2:$I$1000,0)),"")</f>
        <v/>
      </c>
      <c r="C136" s="19" t="str">
        <f aca="false">IFERROR(INDEX(Overall!$F$2:$F$1000,MATCH("LMF|135",Overall!$I$2:$I$1000,0)),"")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IF(B137="","",COUNTIFS(Overall!$C$2:$C$1000,"LMF",Overall!$F$2:$F$1000,"&gt;"&amp;C137)+1)</f>
        <v/>
      </c>
      <c r="B137" s="11" t="str">
        <f aca="false">IFERROR(INDEX(Overall!$B$2:$B$1000,MATCH("LMF|136",Overall!$I$2:$I$1000,0)),"")</f>
        <v/>
      </c>
      <c r="C137" s="19" t="str">
        <f aca="false">IFERROR(INDEX(Overall!$F$2:$F$1000,MATCH("LMF|136",Overall!$I$2:$I$1000,0)),"")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IF(B138="","",COUNTIFS(Overall!$C$2:$C$1000,"LMF",Overall!$F$2:$F$1000,"&gt;"&amp;C138)+1)</f>
        <v/>
      </c>
      <c r="B138" s="11" t="str">
        <f aca="false">IFERROR(INDEX(Overall!$B$2:$B$1000,MATCH("LMF|137",Overall!$I$2:$I$1000,0)),"")</f>
        <v/>
      </c>
      <c r="C138" s="19" t="str">
        <f aca="false">IFERROR(INDEX(Overall!$F$2:$F$1000,MATCH("LMF|137",Overall!$I$2:$I$1000,0)),"")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IF(B139="","",COUNTIFS(Overall!$C$2:$C$1000,"LMF",Overall!$F$2:$F$1000,"&gt;"&amp;C139)+1)</f>
        <v/>
      </c>
      <c r="B139" s="11" t="str">
        <f aca="false">IFERROR(INDEX(Overall!$B$2:$B$1000,MATCH("LMF|138",Overall!$I$2:$I$1000,0)),"")</f>
        <v/>
      </c>
      <c r="C139" s="19" t="str">
        <f aca="false">IFERROR(INDEX(Overall!$F$2:$F$1000,MATCH("LMF|138",Overall!$I$2:$I$1000,0)),"")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IF(B140="","",COUNTIFS(Overall!$C$2:$C$1000,"LMF",Overall!$F$2:$F$1000,"&gt;"&amp;C140)+1)</f>
        <v/>
      </c>
      <c r="B140" s="11" t="str">
        <f aca="false">IFERROR(INDEX(Overall!$B$2:$B$1000,MATCH("LMF|139",Overall!$I$2:$I$1000,0)),"")</f>
        <v/>
      </c>
      <c r="C140" s="19" t="str">
        <f aca="false">IFERROR(INDEX(Overall!$F$2:$F$1000,MATCH("LMF|139",Overall!$I$2:$I$1000,0)),"")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IF(B141="","",COUNTIFS(Overall!$C$2:$C$1000,"LMF",Overall!$F$2:$F$1000,"&gt;"&amp;C141)+1)</f>
        <v/>
      </c>
      <c r="B141" s="11" t="str">
        <f aca="false">IFERROR(INDEX(Overall!$B$2:$B$1000,MATCH("LMF|140",Overall!$I$2:$I$1000,0)),"")</f>
        <v/>
      </c>
      <c r="C141" s="19" t="str">
        <f aca="false">IFERROR(INDEX(Overall!$F$2:$F$1000,MATCH("LMF|140",Overall!$I$2:$I$1000,0)),"")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IF(B142="","",COUNTIFS(Overall!$C$2:$C$1000,"LMF",Overall!$F$2:$F$1000,"&gt;"&amp;C142)+1)</f>
        <v/>
      </c>
      <c r="B142" s="11" t="str">
        <f aca="false">IFERROR(INDEX(Overall!$B$2:$B$1000,MATCH("LMF|141",Overall!$I$2:$I$1000,0)),"")</f>
        <v/>
      </c>
      <c r="C142" s="19" t="str">
        <f aca="false">IFERROR(INDEX(Overall!$F$2:$F$1000,MATCH("LMF|141",Overall!$I$2:$I$1000,0)),"")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IF(B143="","",COUNTIFS(Overall!$C$2:$C$1000,"LMF",Overall!$F$2:$F$1000,"&gt;"&amp;C143)+1)</f>
        <v/>
      </c>
      <c r="B143" s="11" t="str">
        <f aca="false">IFERROR(INDEX(Overall!$B$2:$B$1000,MATCH("LMF|142",Overall!$I$2:$I$1000,0)),"")</f>
        <v/>
      </c>
      <c r="C143" s="19" t="str">
        <f aca="false">IFERROR(INDEX(Overall!$F$2:$F$1000,MATCH("LMF|142",Overall!$I$2:$I$1000,0)),"")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IF(B144="","",COUNTIFS(Overall!$C$2:$C$1000,"LMF",Overall!$F$2:$F$1000,"&gt;"&amp;C144)+1)</f>
        <v/>
      </c>
      <c r="B144" s="11" t="str">
        <f aca="false">IFERROR(INDEX(Overall!$B$2:$B$1000,MATCH("LMF|143",Overall!$I$2:$I$1000,0)),"")</f>
        <v/>
      </c>
      <c r="C144" s="19" t="str">
        <f aca="false">IFERROR(INDEX(Overall!$F$2:$F$1000,MATCH("LMF|143",Overall!$I$2:$I$1000,0)),"")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IF(B145="","",COUNTIFS(Overall!$C$2:$C$1000,"LMF",Overall!$F$2:$F$1000,"&gt;"&amp;C145)+1)</f>
        <v/>
      </c>
      <c r="B145" s="11" t="str">
        <f aca="false">IFERROR(INDEX(Overall!$B$2:$B$1000,MATCH("LMF|144",Overall!$I$2:$I$1000,0)),"")</f>
        <v/>
      </c>
      <c r="C145" s="19" t="str">
        <f aca="false">IFERROR(INDEX(Overall!$F$2:$F$1000,MATCH("LMF|144",Overall!$I$2:$I$1000,0)),"")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IF(B146="","",COUNTIFS(Overall!$C$2:$C$1000,"LMF",Overall!$F$2:$F$1000,"&gt;"&amp;C146)+1)</f>
        <v/>
      </c>
      <c r="B146" s="11" t="str">
        <f aca="false">IFERROR(INDEX(Overall!$B$2:$B$1000,MATCH("LMF|145",Overall!$I$2:$I$1000,0)),"")</f>
        <v/>
      </c>
      <c r="C146" s="19" t="str">
        <f aca="false">IFERROR(INDEX(Overall!$F$2:$F$1000,MATCH("LMF|145",Overall!$I$2:$I$1000,0)),"")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IF(B147="","",COUNTIFS(Overall!$C$2:$C$1000,"LMF",Overall!$F$2:$F$1000,"&gt;"&amp;C147)+1)</f>
        <v/>
      </c>
      <c r="B147" s="11" t="str">
        <f aca="false">IFERROR(INDEX(Overall!$B$2:$B$1000,MATCH("LMF|146",Overall!$I$2:$I$1000,0)),"")</f>
        <v/>
      </c>
      <c r="C147" s="19" t="str">
        <f aca="false">IFERROR(INDEX(Overall!$F$2:$F$1000,MATCH("LMF|146",Overall!$I$2:$I$1000,0)),"")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IF(B148="","",COUNTIFS(Overall!$C$2:$C$1000,"LMF",Overall!$F$2:$F$1000,"&gt;"&amp;C148)+1)</f>
        <v/>
      </c>
      <c r="B148" s="11" t="str">
        <f aca="false">IFERROR(INDEX(Overall!$B$2:$B$1000,MATCH("LMF|147",Overall!$I$2:$I$1000,0)),"")</f>
        <v/>
      </c>
      <c r="C148" s="19" t="str">
        <f aca="false">IFERROR(INDEX(Overall!$F$2:$F$1000,MATCH("LMF|147",Overall!$I$2:$I$1000,0)),"")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IF(B149="","",COUNTIFS(Overall!$C$2:$C$1000,"LMF",Overall!$F$2:$F$1000,"&gt;"&amp;C149)+1)</f>
        <v/>
      </c>
      <c r="B149" s="11" t="str">
        <f aca="false">IFERROR(INDEX(Overall!$B$2:$B$1000,MATCH("LMF|148",Overall!$I$2:$I$1000,0)),"")</f>
        <v/>
      </c>
      <c r="C149" s="19" t="str">
        <f aca="false">IFERROR(INDEX(Overall!$F$2:$F$1000,MATCH("LMF|148",Overall!$I$2:$I$1000,0)),"")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IF(B150="","",COUNTIFS(Overall!$C$2:$C$1000,"LMF",Overall!$F$2:$F$1000,"&gt;"&amp;C150)+1)</f>
        <v/>
      </c>
      <c r="B150" s="11" t="str">
        <f aca="false">IFERROR(INDEX(Overall!$B$2:$B$1000,MATCH("LMF|149",Overall!$I$2:$I$1000,0)),"")</f>
        <v/>
      </c>
      <c r="C150" s="19" t="str">
        <f aca="false">IFERROR(INDEX(Overall!$F$2:$F$1000,MATCH("LMF|149",Overall!$I$2:$I$1000,0)),"")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IF(B151="","",COUNTIFS(Overall!$C$2:$C$1000,"LMF",Overall!$F$2:$F$1000,"&gt;"&amp;C151)+1)</f>
        <v/>
      </c>
      <c r="B151" s="11" t="str">
        <f aca="false">IFERROR(INDEX(Overall!$B$2:$B$1000,MATCH("LMF|150",Overall!$I$2:$I$1000,0)),"")</f>
        <v/>
      </c>
      <c r="C151" s="19" t="str">
        <f aca="false">IFERROR(INDEX(Overall!$F$2:$F$1000,MATCH("LMF|150",Overall!$I$2:$I$1000,0)),"")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BDD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IF(B2="","",COUNTIFS(Overall!$C$2:$C$1000,"RMF",Overall!$F$2:$F$1000,"&gt;"&amp;C2)+1)</f>
        <v>1</v>
      </c>
      <c r="B2" s="11" t="str">
        <f aca="false">IFERROR(INDEX(Overall!$B$2:$B$1000,MATCH("RMF|1",Overall!$I$2:$I$1000,0)),"")</f>
        <v>Rock Lee</v>
      </c>
      <c r="C2" s="19" t="n">
        <f aca="false">IFERROR(INDEX(Overall!$F$2:$F$1000,MATCH("RMF|1",Overall!$I$2:$I$1000,0)),"")</f>
        <v>106</v>
      </c>
    </row>
    <row r="3" customFormat="false" ht="15" hidden="false" customHeight="false" outlineLevel="0" collapsed="false">
      <c r="A3" s="22" t="n">
        <f aca="false">IF(B3="","",COUNTIFS(Overall!$C$2:$C$1000,"RMF",Overall!$F$2:$F$1000,"&gt;"&amp;C3)+1)</f>
        <v>2</v>
      </c>
      <c r="B3" s="11" t="str">
        <f aca="false">IFERROR(INDEX(Overall!$B$2:$B$1000,MATCH("RMF|2",Overall!$I$2:$I$1000,0)),"")</f>
        <v>Kid buu</v>
      </c>
      <c r="C3" s="19" t="n">
        <f aca="false">IFERROR(INDEX(Overall!$F$2:$F$1000,MATCH("RMF|2",Overall!$I$2:$I$1000,0)),"")</f>
        <v>99</v>
      </c>
    </row>
    <row r="4" customFormat="false" ht="15" hidden="false" customHeight="false" outlineLevel="0" collapsed="false">
      <c r="A4" s="22" t="n">
        <f aca="false">IF(B4="","",COUNTIFS(Overall!$C$2:$C$1000,"RMF",Overall!$F$2:$F$1000,"&gt;"&amp;C4)+1)</f>
        <v>3</v>
      </c>
      <c r="B4" s="11" t="str">
        <f aca="false">IFERROR(INDEX(Overall!$B$2:$B$1000,MATCH("RMF|3",Overall!$I$2:$I$1000,0)),"")</f>
        <v>Zep</v>
      </c>
      <c r="C4" s="19" t="n">
        <f aca="false">IFERROR(INDEX(Overall!$F$2:$F$1000,MATCH("RMF|3",Overall!$I$2:$I$1000,0)),"")</f>
        <v>98</v>
      </c>
    </row>
    <row r="5" customFormat="false" ht="15" hidden="false" customHeight="false" outlineLevel="0" collapsed="false">
      <c r="A5" s="22" t="n">
        <f aca="false">IF(B5="","",COUNTIFS(Overall!$C$2:$C$1000,"RMF",Overall!$F$2:$F$1000,"&gt;"&amp;C5)+1)</f>
        <v>4</v>
      </c>
      <c r="B5" s="11" t="str">
        <f aca="false">IFERROR(INDEX(Overall!$B$2:$B$1000,MATCH("RMF|4",Overall!$I$2:$I$1000,0)),"")</f>
        <v>Luigi</v>
      </c>
      <c r="C5" s="19" t="n">
        <f aca="false">IFERROR(INDEX(Overall!$F$2:$F$1000,MATCH("RMF|4",Overall!$I$2:$I$1000,0)),"")</f>
        <v>90</v>
      </c>
    </row>
    <row r="6" customFormat="false" ht="15" hidden="false" customHeight="false" outlineLevel="0" collapsed="false">
      <c r="A6" s="22" t="n">
        <f aca="false">IF(B6="","",COUNTIFS(Overall!$C$2:$C$1000,"RMF",Overall!$F$2:$F$1000,"&gt;"&amp;C6)+1)</f>
        <v>5</v>
      </c>
      <c r="B6" s="11" t="str">
        <f aca="false">IFERROR(INDEX(Overall!$B$2:$B$1000,MATCH("RMF|5",Overall!$I$2:$I$1000,0)),"")</f>
        <v>Trunks</v>
      </c>
      <c r="C6" s="19" t="n">
        <f aca="false">IFERROR(INDEX(Overall!$F$2:$F$1000,MATCH("RMF|5",Overall!$I$2:$I$1000,0)),"")</f>
        <v>88</v>
      </c>
    </row>
    <row r="7" customFormat="false" ht="15" hidden="false" customHeight="false" outlineLevel="0" collapsed="false">
      <c r="A7" s="22" t="n">
        <f aca="false">IF(B7="","",COUNTIFS(Overall!$C$2:$C$1000,"RMF",Overall!$F$2:$F$1000,"&gt;"&amp;C7)+1)</f>
        <v>6</v>
      </c>
      <c r="B7" s="11" t="str">
        <f aca="false">IFERROR(INDEX(Overall!$B$2:$B$1000,MATCH("RMF|6",Overall!$I$2:$I$1000,0)),"")</f>
        <v>Cabba</v>
      </c>
      <c r="C7" s="19" t="n">
        <f aca="false">IFERROR(INDEX(Overall!$F$2:$F$1000,MATCH("RMF|6",Overall!$I$2:$I$1000,0)),"")</f>
        <v>87</v>
      </c>
    </row>
    <row r="8" customFormat="false" ht="15" hidden="false" customHeight="false" outlineLevel="0" collapsed="false">
      <c r="A8" s="22" t="n">
        <f aca="false">IF(B8="","",COUNTIFS(Overall!$C$2:$C$1000,"RMF",Overall!$F$2:$F$1000,"&gt;"&amp;C8)+1)</f>
        <v>6</v>
      </c>
      <c r="B8" s="11" t="str">
        <f aca="false">IFERROR(INDEX(Overall!$B$2:$B$1000,MATCH("RMF|7",Overall!$I$2:$I$1000,0)),"")</f>
        <v>Flash</v>
      </c>
      <c r="C8" s="19" t="n">
        <f aca="false">IFERROR(INDEX(Overall!$F$2:$F$1000,MATCH("RMF|7",Overall!$I$2:$I$1000,0)),"")</f>
        <v>87</v>
      </c>
    </row>
    <row r="9" customFormat="false" ht="15" hidden="false" customHeight="false" outlineLevel="0" collapsed="false">
      <c r="A9" s="22" t="n">
        <f aca="false">IF(B9="","",COUNTIFS(Overall!$C$2:$C$1000,"RMF",Overall!$F$2:$F$1000,"&gt;"&amp;C9)+1)</f>
        <v>8</v>
      </c>
      <c r="B9" s="11" t="str">
        <f aca="false">IFERROR(INDEX(Overall!$B$2:$B$1000,MATCH("RMF|8",Overall!$I$2:$I$1000,0)),"")</f>
        <v>Sonic.exe</v>
      </c>
      <c r="C9" s="19" t="n">
        <f aca="false">IFERROR(INDEX(Overall!$F$2:$F$1000,MATCH("RMF|8",Overall!$I$2:$I$1000,0)),"")</f>
        <v>86</v>
      </c>
    </row>
    <row r="10" customFormat="false" ht="15" hidden="false" customHeight="false" outlineLevel="0" collapsed="false">
      <c r="A10" s="22" t="n">
        <f aca="false">IF(B10="","",COUNTIFS(Overall!$C$2:$C$1000,"RMF",Overall!$F$2:$F$1000,"&gt;"&amp;C10)+1)</f>
        <v>8</v>
      </c>
      <c r="B10" s="11" t="str">
        <f aca="false">IFERROR(INDEX(Overall!$B$2:$B$1000,MATCH("RMF|9",Overall!$I$2:$I$1000,0)),"")</f>
        <v>Charmander</v>
      </c>
      <c r="C10" s="19" t="n">
        <f aca="false">IFERROR(INDEX(Overall!$F$2:$F$1000,MATCH("RMF|9",Overall!$I$2:$I$1000,0)),"")</f>
        <v>86</v>
      </c>
    </row>
    <row r="11" customFormat="false" ht="15" hidden="false" customHeight="false" outlineLevel="0" collapsed="false">
      <c r="A11" s="22" t="n">
        <f aca="false">IF(B11="","",COUNTIFS(Overall!$C$2:$C$1000,"RMF",Overall!$F$2:$F$1000,"&gt;"&amp;C11)+1)</f>
        <v>10</v>
      </c>
      <c r="B11" s="11" t="str">
        <f aca="false">IFERROR(INDEX(Overall!$B$2:$B$1000,MATCH("RMF|10",Overall!$I$2:$I$1000,0)),"")</f>
        <v>Yoshikage kira</v>
      </c>
      <c r="C11" s="19" t="n">
        <f aca="false">IFERROR(INDEX(Overall!$F$2:$F$1000,MATCH("RMF|10",Overall!$I$2:$I$1000,0)),"")</f>
        <v>85</v>
      </c>
    </row>
    <row r="12" customFormat="false" ht="15" hidden="false" customHeight="false" outlineLevel="0" collapsed="false">
      <c r="A12" s="22" t="n">
        <f aca="false">IF(B12="","",COUNTIFS(Overall!$C$2:$C$1000,"RMF",Overall!$F$2:$F$1000,"&gt;"&amp;C12)+1)</f>
        <v>10</v>
      </c>
      <c r="B12" s="11" t="str">
        <f aca="false">IFERROR(INDEX(Overall!$B$2:$B$1000,MATCH("RMF|11",Overall!$I$2:$I$1000,0)),"")</f>
        <v>Aizawa</v>
      </c>
      <c r="C12" s="19" t="n">
        <f aca="false">IFERROR(INDEX(Overall!$F$2:$F$1000,MATCH("RMF|11",Overall!$I$2:$I$1000,0)),"")</f>
        <v>85</v>
      </c>
    </row>
    <row r="13" customFormat="false" ht="15" hidden="false" customHeight="false" outlineLevel="0" collapsed="false">
      <c r="A13" s="22" t="n">
        <f aca="false">IF(B13="","",COUNTIFS(Overall!$C$2:$C$1000,"RMF",Overall!$F$2:$F$1000,"&gt;"&amp;C13)+1)</f>
        <v>10</v>
      </c>
      <c r="B13" s="11" t="str">
        <f aca="false">IFERROR(INDEX(Overall!$B$2:$B$1000,MATCH("RMF|12",Overall!$I$2:$I$1000,0)),"")</f>
        <v>Quicksilver</v>
      </c>
      <c r="C13" s="19" t="n">
        <f aca="false">IFERROR(INDEX(Overall!$F$2:$F$1000,MATCH("RMF|12",Overall!$I$2:$I$1000,0)),"")</f>
        <v>85</v>
      </c>
    </row>
    <row r="14" customFormat="false" ht="15" hidden="false" customHeight="false" outlineLevel="0" collapsed="false">
      <c r="A14" s="22" t="n">
        <f aca="false">IF(B14="","",COUNTIFS(Overall!$C$2:$C$1000,"RMF",Overall!$F$2:$F$1000,"&gt;"&amp;C14)+1)</f>
        <v>10</v>
      </c>
      <c r="B14" s="11" t="str">
        <f aca="false">IFERROR(INDEX(Overall!$B$2:$B$1000,MATCH("RMF|13",Overall!$I$2:$I$1000,0)),"")</f>
        <v>Samus</v>
      </c>
      <c r="C14" s="19" t="n">
        <f aca="false">IFERROR(INDEX(Overall!$F$2:$F$1000,MATCH("RMF|13",Overall!$I$2:$I$1000,0)),"")</f>
        <v>85</v>
      </c>
    </row>
    <row r="15" customFormat="false" ht="15" hidden="false" customHeight="false" outlineLevel="0" collapsed="false">
      <c r="A15" s="22" t="n">
        <f aca="false">IF(B15="","",COUNTIFS(Overall!$C$2:$C$1000,"RMF",Overall!$F$2:$F$1000,"&gt;"&amp;C15)+1)</f>
        <v>14</v>
      </c>
      <c r="B15" s="11" t="str">
        <f aca="false">IFERROR(INDEX(Overall!$B$2:$B$1000,MATCH("RMF|14",Overall!$I$2:$I$1000,0)),"")</f>
        <v>Eren jaeger</v>
      </c>
      <c r="C15" s="19" t="n">
        <f aca="false">IFERROR(INDEX(Overall!$F$2:$F$1000,MATCH("RMF|14",Overall!$I$2:$I$1000,0)),"")</f>
        <v>84</v>
      </c>
    </row>
    <row r="16" customFormat="false" ht="15" hidden="false" customHeight="false" outlineLevel="0" collapsed="false">
      <c r="A16" s="22" t="n">
        <f aca="false">IF(B16="","",COUNTIFS(Overall!$C$2:$C$1000,"RMF",Overall!$F$2:$F$1000,"&gt;"&amp;C16)+1)</f>
        <v>14</v>
      </c>
      <c r="B16" s="11" t="str">
        <f aca="false">IFERROR(INDEX(Overall!$B$2:$B$1000,MATCH("RMF|15",Overall!$I$2:$I$1000,0)),"")</f>
        <v>Ratchet</v>
      </c>
      <c r="C16" s="19" t="n">
        <f aca="false">IFERROR(INDEX(Overall!$F$2:$F$1000,MATCH("RMF|15",Overall!$I$2:$I$1000,0)),"")</f>
        <v>84</v>
      </c>
    </row>
    <row r="17" customFormat="false" ht="15" hidden="false" customHeight="false" outlineLevel="0" collapsed="false">
      <c r="A17" s="22" t="n">
        <f aca="false">IF(B17="","",COUNTIFS(Overall!$C$2:$C$1000,"RMF",Overall!$F$2:$F$1000,"&gt;"&amp;C17)+1)</f>
        <v>14</v>
      </c>
      <c r="B17" s="11" t="str">
        <f aca="false">IFERROR(INDEX(Overall!$B$2:$B$1000,MATCH("RMF|16",Overall!$I$2:$I$1000,0)),"")</f>
        <v>Supergirl</v>
      </c>
      <c r="C17" s="19" t="n">
        <f aca="false">IFERROR(INDEX(Overall!$F$2:$F$1000,MATCH("RMF|16",Overall!$I$2:$I$1000,0)),"")</f>
        <v>84</v>
      </c>
    </row>
    <row r="18" customFormat="false" ht="15" hidden="false" customHeight="false" outlineLevel="0" collapsed="false">
      <c r="A18" s="22" t="n">
        <f aca="false">IF(B18="","",COUNTIFS(Overall!$C$2:$C$1000,"RMF",Overall!$F$2:$F$1000,"&gt;"&amp;C18)+1)</f>
        <v>14</v>
      </c>
      <c r="B18" s="11" t="str">
        <f aca="false">IFERROR(INDEX(Overall!$B$2:$B$1000,MATCH("RMF|17",Overall!$I$2:$I$1000,0)),"")</f>
        <v>Metal Sonic</v>
      </c>
      <c r="C18" s="19" t="n">
        <f aca="false">IFERROR(INDEX(Overall!$F$2:$F$1000,MATCH("RMF|17",Overall!$I$2:$I$1000,0)),"")</f>
        <v>84</v>
      </c>
    </row>
    <row r="19" customFormat="false" ht="15" hidden="false" customHeight="false" outlineLevel="0" collapsed="false">
      <c r="A19" s="22" t="n">
        <f aca="false">IF(B19="","",COUNTIFS(Overall!$C$2:$C$1000,"RMF",Overall!$F$2:$F$1000,"&gt;"&amp;C19)+1)</f>
        <v>18</v>
      </c>
      <c r="B19" s="11" t="str">
        <f aca="false">IFERROR(INDEX(Overall!$B$2:$B$1000,MATCH("RMF|18",Overall!$I$2:$I$1000,0)),"")</f>
        <v>Jose Carioca</v>
      </c>
      <c r="C19" s="19" t="n">
        <f aca="false">IFERROR(INDEX(Overall!$F$2:$F$1000,MATCH("RMF|18",Overall!$I$2:$I$1000,0)),"")</f>
        <v>83</v>
      </c>
    </row>
    <row r="20" customFormat="false" ht="15" hidden="false" customHeight="false" outlineLevel="0" collapsed="false">
      <c r="A20" s="22" t="n">
        <f aca="false">IF(B20="","",COUNTIFS(Overall!$C$2:$C$1000,"RMF",Overall!$F$2:$F$1000,"&gt;"&amp;C20)+1)</f>
        <v>19</v>
      </c>
      <c r="B20" s="11" t="str">
        <f aca="false">IFERROR(INDEX(Overall!$B$2:$B$1000,MATCH("RMF|19",Overall!$I$2:$I$1000,0)),"")</f>
        <v>Tokoyami</v>
      </c>
      <c r="C20" s="19" t="n">
        <f aca="false">IFERROR(INDEX(Overall!$F$2:$F$1000,MATCH("RMF|19",Overall!$I$2:$I$1000,0)),"")</f>
        <v>82</v>
      </c>
    </row>
    <row r="21" customFormat="false" ht="15" hidden="false" customHeight="false" outlineLevel="0" collapsed="false">
      <c r="A21" s="22" t="n">
        <f aca="false">IF(B21="","",COUNTIFS(Overall!$C$2:$C$1000,"RMF",Overall!$F$2:$F$1000,"&gt;"&amp;C21)+1)</f>
        <v>20</v>
      </c>
      <c r="B21" s="11" t="str">
        <f aca="false">IFERROR(INDEX(Overall!$B$2:$B$1000,MATCH("RMF|20",Overall!$I$2:$I$1000,0)),"")</f>
        <v>Yuma tsukumo</v>
      </c>
      <c r="C21" s="19" t="n">
        <f aca="false">IFERROR(INDEX(Overall!$F$2:$F$1000,MATCH("RMF|20",Overall!$I$2:$I$1000,0)),"")</f>
        <v>81</v>
      </c>
    </row>
    <row r="22" customFormat="false" ht="15" hidden="false" customHeight="false" outlineLevel="0" collapsed="false">
      <c r="A22" s="22" t="n">
        <f aca="false">IF(B22="","",COUNTIFS(Overall!$C$2:$C$1000,"RMF",Overall!$F$2:$F$1000,"&gt;"&amp;C22)+1)</f>
        <v>20</v>
      </c>
      <c r="B22" s="11" t="str">
        <f aca="false">IFERROR(INDEX(Overall!$B$2:$B$1000,MATCH("RMF|21",Overall!$I$2:$I$1000,0)),"")</f>
        <v>Kirby</v>
      </c>
      <c r="C22" s="19" t="n">
        <f aca="false">IFERROR(INDEX(Overall!$F$2:$F$1000,MATCH("RMF|21",Overall!$I$2:$I$1000,0)),"")</f>
        <v>81</v>
      </c>
    </row>
    <row r="23" customFormat="false" ht="15" hidden="false" customHeight="false" outlineLevel="0" collapsed="false">
      <c r="A23" s="22" t="n">
        <f aca="false">IF(B23="","",COUNTIFS(Overall!$C$2:$C$1000,"RMF",Overall!$F$2:$F$1000,"&gt;"&amp;C23)+1)</f>
        <v>22</v>
      </c>
      <c r="B23" s="11" t="str">
        <f aca="false">IFERROR(INDEX(Overall!$B$2:$B$1000,MATCH("RMF|22",Overall!$I$2:$I$1000,0)),"")</f>
        <v>Dupli kate</v>
      </c>
      <c r="C23" s="19" t="n">
        <f aca="false">IFERROR(INDEX(Overall!$F$2:$F$1000,MATCH("RMF|22",Overall!$I$2:$I$1000,0)),"")</f>
        <v>80</v>
      </c>
    </row>
    <row r="24" customFormat="false" ht="15" hidden="false" customHeight="false" outlineLevel="0" collapsed="false">
      <c r="A24" s="22" t="n">
        <f aca="false">IF(B24="","",COUNTIFS(Overall!$C$2:$C$1000,"RMF",Overall!$F$2:$F$1000,"&gt;"&amp;C24)+1)</f>
        <v>22</v>
      </c>
      <c r="B24" s="11" t="str">
        <f aca="false">IFERROR(INDEX(Overall!$B$2:$B$1000,MATCH("RMF|23",Overall!$I$2:$I$1000,0)),"")</f>
        <v>SpongeBob</v>
      </c>
      <c r="C24" s="19" t="n">
        <f aca="false">IFERROR(INDEX(Overall!$F$2:$F$1000,MATCH("RMF|23",Overall!$I$2:$I$1000,0)),"")</f>
        <v>80</v>
      </c>
    </row>
    <row r="25" customFormat="false" ht="15" hidden="false" customHeight="false" outlineLevel="0" collapsed="false">
      <c r="A25" s="22" t="n">
        <f aca="false">IF(B25="","",COUNTIFS(Overall!$C$2:$C$1000,"RMF",Overall!$F$2:$F$1000,"&gt;"&amp;C25)+1)</f>
        <v>24</v>
      </c>
      <c r="B25" s="11" t="str">
        <f aca="false">IFERROR(INDEX(Overall!$B$2:$B$1000,MATCH("RMF|24",Overall!$I$2:$I$1000,0)),"")</f>
        <v>Will E Coyote</v>
      </c>
      <c r="C25" s="19" t="n">
        <f aca="false">IFERROR(INDEX(Overall!$F$2:$F$1000,MATCH("RMF|24",Overall!$I$2:$I$1000,0)),"")</f>
        <v>79</v>
      </c>
    </row>
    <row r="26" customFormat="false" ht="15" hidden="false" customHeight="false" outlineLevel="0" collapsed="false">
      <c r="A26" s="22" t="n">
        <f aca="false">IF(B26="","",COUNTIFS(Overall!$C$2:$C$1000,"RMF",Overall!$F$2:$F$1000,"&gt;"&amp;C26)+1)</f>
        <v>24</v>
      </c>
      <c r="B26" s="11" t="str">
        <f aca="false">IFERROR(INDEX(Overall!$B$2:$B$1000,MATCH("RMF|25",Overall!$I$2:$I$1000,0)),"")</f>
        <v>Jerry</v>
      </c>
      <c r="C26" s="19" t="n">
        <f aca="false">IFERROR(INDEX(Overall!$F$2:$F$1000,MATCH("RMF|25",Overall!$I$2:$I$1000,0)),"")</f>
        <v>79</v>
      </c>
    </row>
    <row r="27" customFormat="false" ht="15" hidden="false" customHeight="false" outlineLevel="0" collapsed="false">
      <c r="A27" s="22" t="str">
        <f aca="false">IF(B27="","",COUNTIFS(Overall!$C$2:$C$1000,"RMF",Overall!$F$2:$F$1000,"&gt;"&amp;C27)+1)</f>
        <v/>
      </c>
      <c r="B27" s="11" t="str">
        <f aca="false">IFERROR(INDEX(Overall!$B$2:$B$1000,MATCH("RMF|26",Overall!$I$2:$I$1000,0)),"")</f>
        <v/>
      </c>
      <c r="C27" s="19" t="str">
        <f aca="false">IFERROR(INDEX(Overall!$F$2:$F$1000,MATCH("RMF|26",Overall!$I$2:$I$1000,0)),"")</f>
        <v/>
      </c>
    </row>
    <row r="28" customFormat="false" ht="15" hidden="false" customHeight="false" outlineLevel="0" collapsed="false">
      <c r="A28" s="22" t="str">
        <f aca="false">IF(B28="","",COUNTIFS(Overall!$C$2:$C$1000,"RMF",Overall!$F$2:$F$1000,"&gt;"&amp;C28)+1)</f>
        <v/>
      </c>
      <c r="B28" s="11" t="str">
        <f aca="false">IFERROR(INDEX(Overall!$B$2:$B$1000,MATCH("RMF|27",Overall!$I$2:$I$1000,0)),"")</f>
        <v/>
      </c>
      <c r="C28" s="19" t="str">
        <f aca="false">IFERROR(INDEX(Overall!$F$2:$F$1000,MATCH("RMF|27",Overall!$I$2:$I$1000,0)),"")</f>
        <v/>
      </c>
    </row>
    <row r="29" customFormat="false" ht="15" hidden="false" customHeight="false" outlineLevel="0" collapsed="false">
      <c r="A29" s="22" t="str">
        <f aca="false">IF(B29="","",COUNTIFS(Overall!$C$2:$C$1000,"RMF",Overall!$F$2:$F$1000,"&gt;"&amp;C29)+1)</f>
        <v/>
      </c>
      <c r="B29" s="11" t="str">
        <f aca="false">IFERROR(INDEX(Overall!$B$2:$B$1000,MATCH("RMF|28",Overall!$I$2:$I$1000,0)),"")</f>
        <v/>
      </c>
      <c r="C29" s="19" t="str">
        <f aca="false">IFERROR(INDEX(Overall!$F$2:$F$1000,MATCH("RMF|28",Overall!$I$2:$I$1000,0)),"")</f>
        <v/>
      </c>
    </row>
    <row r="30" customFormat="false" ht="15" hidden="false" customHeight="false" outlineLevel="0" collapsed="false">
      <c r="A30" s="22" t="str">
        <f aca="false">IF(B30="","",COUNTIFS(Overall!$C$2:$C$1000,"RMF",Overall!$F$2:$F$1000,"&gt;"&amp;C30)+1)</f>
        <v/>
      </c>
      <c r="B30" s="11" t="str">
        <f aca="false">IFERROR(INDEX(Overall!$B$2:$B$1000,MATCH("RMF|29",Overall!$I$2:$I$1000,0)),"")</f>
        <v/>
      </c>
      <c r="C30" s="19" t="str">
        <f aca="false">IFERROR(INDEX(Overall!$F$2:$F$1000,MATCH("RMF|29",Overall!$I$2:$I$1000,0)),"")</f>
        <v/>
      </c>
    </row>
    <row r="31" customFormat="false" ht="15" hidden="false" customHeight="false" outlineLevel="0" collapsed="false">
      <c r="A31" s="22" t="str">
        <f aca="false">IF(B31="","",COUNTIFS(Overall!$C$2:$C$1000,"RMF",Overall!$F$2:$F$1000,"&gt;"&amp;C31)+1)</f>
        <v/>
      </c>
      <c r="B31" s="11" t="str">
        <f aca="false">IFERROR(INDEX(Overall!$B$2:$B$1000,MATCH("RMF|30",Overall!$I$2:$I$1000,0)),"")</f>
        <v/>
      </c>
      <c r="C31" s="19" t="str">
        <f aca="false">IFERROR(INDEX(Overall!$F$2:$F$1000,MATCH("RMF|30",Overall!$I$2:$I$1000,0)),"")</f>
        <v/>
      </c>
    </row>
    <row r="32" customFormat="false" ht="15" hidden="false" customHeight="false" outlineLevel="0" collapsed="false">
      <c r="A32" s="22" t="str">
        <f aca="false">IF(B32="","",COUNTIFS(Overall!$C$2:$C$1000,"RMF",Overall!$F$2:$F$1000,"&gt;"&amp;C32)+1)</f>
        <v/>
      </c>
      <c r="B32" s="11" t="str">
        <f aca="false">IFERROR(INDEX(Overall!$B$2:$B$1000,MATCH("RMF|31",Overall!$I$2:$I$1000,0)),"")</f>
        <v/>
      </c>
      <c r="C32" s="19" t="str">
        <f aca="false">IFERROR(INDEX(Overall!$F$2:$F$1000,MATCH("RMF|31",Overall!$I$2:$I$1000,0)),"")</f>
        <v/>
      </c>
    </row>
    <row r="33" customFormat="false" ht="15" hidden="false" customHeight="false" outlineLevel="0" collapsed="false">
      <c r="A33" s="22" t="str">
        <f aca="false">IF(B33="","",COUNTIFS(Overall!$C$2:$C$1000,"RMF",Overall!$F$2:$F$1000,"&gt;"&amp;C33)+1)</f>
        <v/>
      </c>
      <c r="B33" s="11" t="str">
        <f aca="false">IFERROR(INDEX(Overall!$B$2:$B$1000,MATCH("RMF|32",Overall!$I$2:$I$1000,0)),"")</f>
        <v/>
      </c>
      <c r="C33" s="19" t="str">
        <f aca="false">IFERROR(INDEX(Overall!$F$2:$F$1000,MATCH("RMF|32",Overall!$I$2:$I$1000,0)),"")</f>
        <v/>
      </c>
    </row>
    <row r="34" customFormat="false" ht="15" hidden="false" customHeight="false" outlineLevel="0" collapsed="false">
      <c r="A34" s="22" t="str">
        <f aca="false">IF(B34="","",COUNTIFS(Overall!$C$2:$C$1000,"RMF",Overall!$F$2:$F$1000,"&gt;"&amp;C34)+1)</f>
        <v/>
      </c>
      <c r="B34" s="11" t="str">
        <f aca="false">IFERROR(INDEX(Overall!$B$2:$B$1000,MATCH("RMF|33",Overall!$I$2:$I$1000,0)),"")</f>
        <v/>
      </c>
      <c r="C34" s="19" t="str">
        <f aca="false">IFERROR(INDEX(Overall!$F$2:$F$1000,MATCH("RMF|33",Overall!$I$2:$I$1000,0)),"")</f>
        <v/>
      </c>
    </row>
    <row r="35" customFormat="false" ht="15" hidden="false" customHeight="false" outlineLevel="0" collapsed="false">
      <c r="A35" s="22" t="str">
        <f aca="false">IF(B35="","",COUNTIFS(Overall!$C$2:$C$1000,"RMF",Overall!$F$2:$F$1000,"&gt;"&amp;C35)+1)</f>
        <v/>
      </c>
      <c r="B35" s="11" t="str">
        <f aca="false">IFERROR(INDEX(Overall!$B$2:$B$1000,MATCH("RMF|34",Overall!$I$2:$I$1000,0)),"")</f>
        <v/>
      </c>
      <c r="C35" s="19" t="str">
        <f aca="false">IFERROR(INDEX(Overall!$F$2:$F$1000,MATCH("RMF|34",Overall!$I$2:$I$1000,0)),"")</f>
        <v/>
      </c>
    </row>
    <row r="36" customFormat="false" ht="15" hidden="false" customHeight="false" outlineLevel="0" collapsed="false">
      <c r="A36" s="22" t="str">
        <f aca="false">IF(B36="","",COUNTIFS(Overall!$C$2:$C$1000,"RMF",Overall!$F$2:$F$1000,"&gt;"&amp;C36)+1)</f>
        <v/>
      </c>
      <c r="B36" s="11" t="str">
        <f aca="false">IFERROR(INDEX(Overall!$B$2:$B$1000,MATCH("RMF|35",Overall!$I$2:$I$1000,0)),"")</f>
        <v/>
      </c>
      <c r="C36" s="19" t="str">
        <f aca="false">IFERROR(INDEX(Overall!$F$2:$F$1000,MATCH("RMF|35",Overall!$I$2:$I$1000,0)),"")</f>
        <v/>
      </c>
    </row>
    <row r="37" customFormat="false" ht="15" hidden="false" customHeight="false" outlineLevel="0" collapsed="false">
      <c r="A37" s="22" t="str">
        <f aca="false">IF(B37="","",COUNTIFS(Overall!$C$2:$C$1000,"RMF",Overall!$F$2:$F$1000,"&gt;"&amp;C37)+1)</f>
        <v/>
      </c>
      <c r="B37" s="11" t="str">
        <f aca="false">IFERROR(INDEX(Overall!$B$2:$B$1000,MATCH("RMF|36",Overall!$I$2:$I$1000,0)),"")</f>
        <v/>
      </c>
      <c r="C37" s="19" t="str">
        <f aca="false">IFERROR(INDEX(Overall!$F$2:$F$1000,MATCH("RMF|36",Overall!$I$2:$I$1000,0)),"")</f>
        <v/>
      </c>
    </row>
    <row r="38" customFormat="false" ht="15" hidden="false" customHeight="false" outlineLevel="0" collapsed="false">
      <c r="A38" s="22" t="str">
        <f aca="false">IF(B38="","",COUNTIFS(Overall!$C$2:$C$1000,"RMF",Overall!$F$2:$F$1000,"&gt;"&amp;C38)+1)</f>
        <v/>
      </c>
      <c r="B38" s="11" t="str">
        <f aca="false">IFERROR(INDEX(Overall!$B$2:$B$1000,MATCH("RMF|37",Overall!$I$2:$I$1000,0)),"")</f>
        <v/>
      </c>
      <c r="C38" s="19" t="str">
        <f aca="false">IFERROR(INDEX(Overall!$F$2:$F$1000,MATCH("RMF|37",Overall!$I$2:$I$1000,0)),"")</f>
        <v/>
      </c>
    </row>
    <row r="39" customFormat="false" ht="15" hidden="false" customHeight="false" outlineLevel="0" collapsed="false">
      <c r="A39" s="22" t="str">
        <f aca="false">IF(B39="","",COUNTIFS(Overall!$C$2:$C$1000,"RMF",Overall!$F$2:$F$1000,"&gt;"&amp;C39)+1)</f>
        <v/>
      </c>
      <c r="B39" s="11" t="str">
        <f aca="false">IFERROR(INDEX(Overall!$B$2:$B$1000,MATCH("RMF|38",Overall!$I$2:$I$1000,0)),"")</f>
        <v/>
      </c>
      <c r="C39" s="19" t="str">
        <f aca="false">IFERROR(INDEX(Overall!$F$2:$F$1000,MATCH("RMF|38",Overall!$I$2:$I$1000,0)),"")</f>
        <v/>
      </c>
    </row>
    <row r="40" customFormat="false" ht="15" hidden="false" customHeight="false" outlineLevel="0" collapsed="false">
      <c r="A40" s="22" t="str">
        <f aca="false">IF(B40="","",COUNTIFS(Overall!$C$2:$C$1000,"RMF",Overall!$F$2:$F$1000,"&gt;"&amp;C40)+1)</f>
        <v/>
      </c>
      <c r="B40" s="11" t="str">
        <f aca="false">IFERROR(INDEX(Overall!$B$2:$B$1000,MATCH("RMF|39",Overall!$I$2:$I$1000,0)),"")</f>
        <v/>
      </c>
      <c r="C40" s="19" t="str">
        <f aca="false">IFERROR(INDEX(Overall!$F$2:$F$1000,MATCH("RMF|39",Overall!$I$2:$I$1000,0)),"")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IF(B41="","",COUNTIFS(Overall!$C$2:$C$1000,"RMF",Overall!$F$2:$F$1000,"&gt;"&amp;C41)+1)</f>
        <v/>
      </c>
      <c r="B41" s="11" t="str">
        <f aca="false">IFERROR(INDEX(Overall!$B$2:$B$1000,MATCH("RMF|40",Overall!$I$2:$I$1000,0)),"")</f>
        <v/>
      </c>
      <c r="C41" s="19" t="str">
        <f aca="false">IFERROR(INDEX(Overall!$F$2:$F$1000,MATCH("RMF|40",Overall!$I$2:$I$1000,0)),"")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IF(B42="","",COUNTIFS(Overall!$C$2:$C$1000,"RMF",Overall!$F$2:$F$1000,"&gt;"&amp;C42)+1)</f>
        <v/>
      </c>
      <c r="B42" s="11" t="str">
        <f aca="false">IFERROR(INDEX(Overall!$B$2:$B$1000,MATCH("RMF|41",Overall!$I$2:$I$1000,0)),"")</f>
        <v/>
      </c>
      <c r="C42" s="19" t="str">
        <f aca="false">IFERROR(INDEX(Overall!$F$2:$F$1000,MATCH("RMF|41",Overall!$I$2:$I$1000,0)),"")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IF(B43="","",COUNTIFS(Overall!$C$2:$C$1000,"RMF",Overall!$F$2:$F$1000,"&gt;"&amp;C43)+1)</f>
        <v/>
      </c>
      <c r="B43" s="11" t="str">
        <f aca="false">IFERROR(INDEX(Overall!$B$2:$B$1000,MATCH("RMF|42",Overall!$I$2:$I$1000,0)),"")</f>
        <v/>
      </c>
      <c r="C43" s="19" t="str">
        <f aca="false">IFERROR(INDEX(Overall!$F$2:$F$1000,MATCH("RMF|42",Overall!$I$2:$I$1000,0)),"")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IF(B44="","",COUNTIFS(Overall!$C$2:$C$1000,"RMF",Overall!$F$2:$F$1000,"&gt;"&amp;C44)+1)</f>
        <v/>
      </c>
      <c r="B44" s="11" t="str">
        <f aca="false">IFERROR(INDEX(Overall!$B$2:$B$1000,MATCH("RMF|43",Overall!$I$2:$I$1000,0)),"")</f>
        <v/>
      </c>
      <c r="C44" s="19" t="str">
        <f aca="false">IFERROR(INDEX(Overall!$F$2:$F$1000,MATCH("RMF|43",Overall!$I$2:$I$1000,0)),"")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IF(B45="","",COUNTIFS(Overall!$C$2:$C$1000,"RMF",Overall!$F$2:$F$1000,"&gt;"&amp;C45)+1)</f>
        <v/>
      </c>
      <c r="B45" s="11" t="str">
        <f aca="false">IFERROR(INDEX(Overall!$B$2:$B$1000,MATCH("RMF|44",Overall!$I$2:$I$1000,0)),"")</f>
        <v/>
      </c>
      <c r="C45" s="19" t="str">
        <f aca="false">IFERROR(INDEX(Overall!$F$2:$F$1000,MATCH("RMF|44",Overall!$I$2:$I$1000,0)),"")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IF(B46="","",COUNTIFS(Overall!$C$2:$C$1000,"RMF",Overall!$F$2:$F$1000,"&gt;"&amp;C46)+1)</f>
        <v/>
      </c>
      <c r="B46" s="11" t="str">
        <f aca="false">IFERROR(INDEX(Overall!$B$2:$B$1000,MATCH("RMF|45",Overall!$I$2:$I$1000,0)),"")</f>
        <v/>
      </c>
      <c r="C46" s="19" t="str">
        <f aca="false">IFERROR(INDEX(Overall!$F$2:$F$1000,MATCH("RMF|45",Overall!$I$2:$I$1000,0)),"")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IF(B47="","",COUNTIFS(Overall!$C$2:$C$1000,"RMF",Overall!$F$2:$F$1000,"&gt;"&amp;C47)+1)</f>
        <v/>
      </c>
      <c r="B47" s="11" t="str">
        <f aca="false">IFERROR(INDEX(Overall!$B$2:$B$1000,MATCH("RMF|46",Overall!$I$2:$I$1000,0)),"")</f>
        <v/>
      </c>
      <c r="C47" s="19" t="str">
        <f aca="false">IFERROR(INDEX(Overall!$F$2:$F$1000,MATCH("RMF|46",Overall!$I$2:$I$1000,0)),"")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IF(B48="","",COUNTIFS(Overall!$C$2:$C$1000,"RMF",Overall!$F$2:$F$1000,"&gt;"&amp;C48)+1)</f>
        <v/>
      </c>
      <c r="B48" s="11" t="str">
        <f aca="false">IFERROR(INDEX(Overall!$B$2:$B$1000,MATCH("RMF|47",Overall!$I$2:$I$1000,0)),"")</f>
        <v/>
      </c>
      <c r="C48" s="19" t="str">
        <f aca="false">IFERROR(INDEX(Overall!$F$2:$F$1000,MATCH("RMF|47",Overall!$I$2:$I$1000,0)),"")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IF(B49="","",COUNTIFS(Overall!$C$2:$C$1000,"RMF",Overall!$F$2:$F$1000,"&gt;"&amp;C49)+1)</f>
        <v/>
      </c>
      <c r="B49" s="11" t="str">
        <f aca="false">IFERROR(INDEX(Overall!$B$2:$B$1000,MATCH("RMF|48",Overall!$I$2:$I$1000,0)),"")</f>
        <v/>
      </c>
      <c r="C49" s="19" t="str">
        <f aca="false">IFERROR(INDEX(Overall!$F$2:$F$1000,MATCH("RMF|48",Overall!$I$2:$I$1000,0)),"")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IF(B50="","",COUNTIFS(Overall!$C$2:$C$1000,"RMF",Overall!$F$2:$F$1000,"&gt;"&amp;C50)+1)</f>
        <v/>
      </c>
      <c r="B50" s="11" t="str">
        <f aca="false">IFERROR(INDEX(Overall!$B$2:$B$1000,MATCH("RMF|49",Overall!$I$2:$I$1000,0)),"")</f>
        <v/>
      </c>
      <c r="C50" s="19" t="str">
        <f aca="false">IFERROR(INDEX(Overall!$F$2:$F$1000,MATCH("RMF|49",Overall!$I$2:$I$1000,0)),"")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IF(B51="","",COUNTIFS(Overall!$C$2:$C$1000,"RMF",Overall!$F$2:$F$1000,"&gt;"&amp;C51)+1)</f>
        <v/>
      </c>
      <c r="B51" s="11" t="str">
        <f aca="false">IFERROR(INDEX(Overall!$B$2:$B$1000,MATCH("RMF|50",Overall!$I$2:$I$1000,0)),"")</f>
        <v/>
      </c>
      <c r="C51" s="19" t="str">
        <f aca="false">IFERROR(INDEX(Overall!$F$2:$F$1000,MATCH("RMF|50",Overall!$I$2:$I$1000,0)),"")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IF(B52="","",COUNTIFS(Overall!$C$2:$C$1000,"RMF",Overall!$F$2:$F$1000,"&gt;"&amp;C52)+1)</f>
        <v/>
      </c>
      <c r="B52" s="11" t="str">
        <f aca="false">IFERROR(INDEX(Overall!$B$2:$B$1000,MATCH("RMF|51",Overall!$I$2:$I$1000,0)),"")</f>
        <v/>
      </c>
      <c r="C52" s="19" t="str">
        <f aca="false">IFERROR(INDEX(Overall!$F$2:$F$1000,MATCH("RMF|51",Overall!$I$2:$I$1000,0)),"")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IF(B53="","",COUNTIFS(Overall!$C$2:$C$1000,"RMF",Overall!$F$2:$F$1000,"&gt;"&amp;C53)+1)</f>
        <v/>
      </c>
      <c r="B53" s="11" t="str">
        <f aca="false">IFERROR(INDEX(Overall!$B$2:$B$1000,MATCH("RMF|52",Overall!$I$2:$I$1000,0)),"")</f>
        <v/>
      </c>
      <c r="C53" s="19" t="str">
        <f aca="false">IFERROR(INDEX(Overall!$F$2:$F$1000,MATCH("RMF|52",Overall!$I$2:$I$1000,0)),"")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IF(B54="","",COUNTIFS(Overall!$C$2:$C$1000,"RMF",Overall!$F$2:$F$1000,"&gt;"&amp;C54)+1)</f>
        <v/>
      </c>
      <c r="B54" s="11" t="str">
        <f aca="false">IFERROR(INDEX(Overall!$B$2:$B$1000,MATCH("RMF|53",Overall!$I$2:$I$1000,0)),"")</f>
        <v/>
      </c>
      <c r="C54" s="19" t="str">
        <f aca="false">IFERROR(INDEX(Overall!$F$2:$F$1000,MATCH("RMF|53",Overall!$I$2:$I$1000,0)),"")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IF(B55="","",COUNTIFS(Overall!$C$2:$C$1000,"RMF",Overall!$F$2:$F$1000,"&gt;"&amp;C55)+1)</f>
        <v/>
      </c>
      <c r="B55" s="11" t="str">
        <f aca="false">IFERROR(INDEX(Overall!$B$2:$B$1000,MATCH("RMF|54",Overall!$I$2:$I$1000,0)),"")</f>
        <v/>
      </c>
      <c r="C55" s="19" t="str">
        <f aca="false">IFERROR(INDEX(Overall!$F$2:$F$1000,MATCH("RMF|54",Overall!$I$2:$I$1000,0)),"")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IF(B56="","",COUNTIFS(Overall!$C$2:$C$1000,"RMF",Overall!$F$2:$F$1000,"&gt;"&amp;C56)+1)</f>
        <v/>
      </c>
      <c r="B56" s="11" t="str">
        <f aca="false">IFERROR(INDEX(Overall!$B$2:$B$1000,MATCH("RMF|55",Overall!$I$2:$I$1000,0)),"")</f>
        <v/>
      </c>
      <c r="C56" s="19" t="str">
        <f aca="false">IFERROR(INDEX(Overall!$F$2:$F$1000,MATCH("RMF|55",Overall!$I$2:$I$1000,0)),"")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IF(B57="","",COUNTIFS(Overall!$C$2:$C$1000,"RMF",Overall!$F$2:$F$1000,"&gt;"&amp;C57)+1)</f>
        <v/>
      </c>
      <c r="B57" s="11" t="str">
        <f aca="false">IFERROR(INDEX(Overall!$B$2:$B$1000,MATCH("RMF|56",Overall!$I$2:$I$1000,0)),"")</f>
        <v/>
      </c>
      <c r="C57" s="19" t="str">
        <f aca="false">IFERROR(INDEX(Overall!$F$2:$F$1000,MATCH("RMF|56",Overall!$I$2:$I$1000,0)),"")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IF(B58="","",COUNTIFS(Overall!$C$2:$C$1000,"RMF",Overall!$F$2:$F$1000,"&gt;"&amp;C58)+1)</f>
        <v/>
      </c>
      <c r="B58" s="11" t="str">
        <f aca="false">IFERROR(INDEX(Overall!$B$2:$B$1000,MATCH("RMF|57",Overall!$I$2:$I$1000,0)),"")</f>
        <v/>
      </c>
      <c r="C58" s="19" t="str">
        <f aca="false">IFERROR(INDEX(Overall!$F$2:$F$1000,MATCH("RMF|57",Overall!$I$2:$I$1000,0)),"")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IF(B59="","",COUNTIFS(Overall!$C$2:$C$1000,"RMF",Overall!$F$2:$F$1000,"&gt;"&amp;C59)+1)</f>
        <v/>
      </c>
      <c r="B59" s="11" t="str">
        <f aca="false">IFERROR(INDEX(Overall!$B$2:$B$1000,MATCH("RMF|58",Overall!$I$2:$I$1000,0)),"")</f>
        <v/>
      </c>
      <c r="C59" s="19" t="str">
        <f aca="false">IFERROR(INDEX(Overall!$F$2:$F$1000,MATCH("RMF|58",Overall!$I$2:$I$1000,0)),"")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IF(B60="","",COUNTIFS(Overall!$C$2:$C$1000,"RMF",Overall!$F$2:$F$1000,"&gt;"&amp;C60)+1)</f>
        <v/>
      </c>
      <c r="B60" s="11" t="str">
        <f aca="false">IFERROR(INDEX(Overall!$B$2:$B$1000,MATCH("RMF|59",Overall!$I$2:$I$1000,0)),"")</f>
        <v/>
      </c>
      <c r="C60" s="19" t="str">
        <f aca="false">IFERROR(INDEX(Overall!$F$2:$F$1000,MATCH("RMF|59",Overall!$I$2:$I$1000,0)),"")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IF(B61="","",COUNTIFS(Overall!$C$2:$C$1000,"RMF",Overall!$F$2:$F$1000,"&gt;"&amp;C61)+1)</f>
        <v/>
      </c>
      <c r="B61" s="11" t="str">
        <f aca="false">IFERROR(INDEX(Overall!$B$2:$B$1000,MATCH("RMF|60",Overall!$I$2:$I$1000,0)),"")</f>
        <v/>
      </c>
      <c r="C61" s="19" t="str">
        <f aca="false">IFERROR(INDEX(Overall!$F$2:$F$1000,MATCH("RMF|60",Overall!$I$2:$I$1000,0)),"")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IF(B62="","",COUNTIFS(Overall!$C$2:$C$1000,"RMF",Overall!$F$2:$F$1000,"&gt;"&amp;C62)+1)</f>
        <v/>
      </c>
      <c r="B62" s="11" t="str">
        <f aca="false">IFERROR(INDEX(Overall!$B$2:$B$1000,MATCH("RMF|61",Overall!$I$2:$I$1000,0)),"")</f>
        <v/>
      </c>
      <c r="C62" s="19" t="str">
        <f aca="false">IFERROR(INDEX(Overall!$F$2:$F$1000,MATCH("RMF|61",Overall!$I$2:$I$1000,0)),"")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IF(B63="","",COUNTIFS(Overall!$C$2:$C$1000,"RMF",Overall!$F$2:$F$1000,"&gt;"&amp;C63)+1)</f>
        <v/>
      </c>
      <c r="B63" s="11" t="str">
        <f aca="false">IFERROR(INDEX(Overall!$B$2:$B$1000,MATCH("RMF|62",Overall!$I$2:$I$1000,0)),"")</f>
        <v/>
      </c>
      <c r="C63" s="19" t="str">
        <f aca="false">IFERROR(INDEX(Overall!$F$2:$F$1000,MATCH("RMF|62",Overall!$I$2:$I$1000,0)),"")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IF(B64="","",COUNTIFS(Overall!$C$2:$C$1000,"RMF",Overall!$F$2:$F$1000,"&gt;"&amp;C64)+1)</f>
        <v/>
      </c>
      <c r="B64" s="11" t="str">
        <f aca="false">IFERROR(INDEX(Overall!$B$2:$B$1000,MATCH("RMF|63",Overall!$I$2:$I$1000,0)),"")</f>
        <v/>
      </c>
      <c r="C64" s="19" t="str">
        <f aca="false">IFERROR(INDEX(Overall!$F$2:$F$1000,MATCH("RMF|63",Overall!$I$2:$I$1000,0)),"")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IF(B65="","",COUNTIFS(Overall!$C$2:$C$1000,"RMF",Overall!$F$2:$F$1000,"&gt;"&amp;C65)+1)</f>
        <v/>
      </c>
      <c r="B65" s="11" t="str">
        <f aca="false">IFERROR(INDEX(Overall!$B$2:$B$1000,MATCH("RMF|64",Overall!$I$2:$I$1000,0)),"")</f>
        <v/>
      </c>
      <c r="C65" s="19" t="str">
        <f aca="false">IFERROR(INDEX(Overall!$F$2:$F$1000,MATCH("RMF|64",Overall!$I$2:$I$1000,0)),"")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IF(B66="","",COUNTIFS(Overall!$C$2:$C$1000,"RMF",Overall!$F$2:$F$1000,"&gt;"&amp;C66)+1)</f>
        <v/>
      </c>
      <c r="B66" s="11" t="str">
        <f aca="false">IFERROR(INDEX(Overall!$B$2:$B$1000,MATCH("RMF|65",Overall!$I$2:$I$1000,0)),"")</f>
        <v/>
      </c>
      <c r="C66" s="19" t="str">
        <f aca="false">IFERROR(INDEX(Overall!$F$2:$F$1000,MATCH("RMF|65",Overall!$I$2:$I$1000,0)),"")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IF(B67="","",COUNTIFS(Overall!$C$2:$C$1000,"RMF",Overall!$F$2:$F$1000,"&gt;"&amp;C67)+1)</f>
        <v/>
      </c>
      <c r="B67" s="11" t="str">
        <f aca="false">IFERROR(INDEX(Overall!$B$2:$B$1000,MATCH("RMF|66",Overall!$I$2:$I$1000,0)),"")</f>
        <v/>
      </c>
      <c r="C67" s="19" t="str">
        <f aca="false">IFERROR(INDEX(Overall!$F$2:$F$1000,MATCH("RMF|66",Overall!$I$2:$I$1000,0)),"")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IF(B68="","",COUNTIFS(Overall!$C$2:$C$1000,"RMF",Overall!$F$2:$F$1000,"&gt;"&amp;C68)+1)</f>
        <v/>
      </c>
      <c r="B68" s="11" t="str">
        <f aca="false">IFERROR(INDEX(Overall!$B$2:$B$1000,MATCH("RMF|67",Overall!$I$2:$I$1000,0)),"")</f>
        <v/>
      </c>
      <c r="C68" s="19" t="str">
        <f aca="false">IFERROR(INDEX(Overall!$F$2:$F$1000,MATCH("RMF|67",Overall!$I$2:$I$1000,0)),"")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IF(B69="","",COUNTIFS(Overall!$C$2:$C$1000,"RMF",Overall!$F$2:$F$1000,"&gt;"&amp;C69)+1)</f>
        <v/>
      </c>
      <c r="B69" s="11" t="str">
        <f aca="false">IFERROR(INDEX(Overall!$B$2:$B$1000,MATCH("RMF|68",Overall!$I$2:$I$1000,0)),"")</f>
        <v/>
      </c>
      <c r="C69" s="19" t="str">
        <f aca="false">IFERROR(INDEX(Overall!$F$2:$F$1000,MATCH("RMF|68",Overall!$I$2:$I$1000,0)),"")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IF(B70="","",COUNTIFS(Overall!$C$2:$C$1000,"RMF",Overall!$F$2:$F$1000,"&gt;"&amp;C70)+1)</f>
        <v/>
      </c>
      <c r="B70" s="11" t="str">
        <f aca="false">IFERROR(INDEX(Overall!$B$2:$B$1000,MATCH("RMF|69",Overall!$I$2:$I$1000,0)),"")</f>
        <v/>
      </c>
      <c r="C70" s="19" t="str">
        <f aca="false">IFERROR(INDEX(Overall!$F$2:$F$1000,MATCH("RMF|69",Overall!$I$2:$I$1000,0)),"")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IF(B71="","",COUNTIFS(Overall!$C$2:$C$1000,"RMF",Overall!$F$2:$F$1000,"&gt;"&amp;C71)+1)</f>
        <v/>
      </c>
      <c r="B71" s="11" t="str">
        <f aca="false">IFERROR(INDEX(Overall!$B$2:$B$1000,MATCH("RMF|70",Overall!$I$2:$I$1000,0)),"")</f>
        <v/>
      </c>
      <c r="C71" s="19" t="str">
        <f aca="false">IFERROR(INDEX(Overall!$F$2:$F$1000,MATCH("RMF|70",Overall!$I$2:$I$1000,0)),"")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IF(B72="","",COUNTIFS(Overall!$C$2:$C$1000,"RMF",Overall!$F$2:$F$1000,"&gt;"&amp;C72)+1)</f>
        <v/>
      </c>
      <c r="B72" s="11" t="str">
        <f aca="false">IFERROR(INDEX(Overall!$B$2:$B$1000,MATCH("RMF|71",Overall!$I$2:$I$1000,0)),"")</f>
        <v/>
      </c>
      <c r="C72" s="19" t="str">
        <f aca="false">IFERROR(INDEX(Overall!$F$2:$F$1000,MATCH("RMF|71",Overall!$I$2:$I$1000,0)),"")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IF(B73="","",COUNTIFS(Overall!$C$2:$C$1000,"RMF",Overall!$F$2:$F$1000,"&gt;"&amp;C73)+1)</f>
        <v/>
      </c>
      <c r="B73" s="11" t="str">
        <f aca="false">IFERROR(INDEX(Overall!$B$2:$B$1000,MATCH("RMF|72",Overall!$I$2:$I$1000,0)),"")</f>
        <v/>
      </c>
      <c r="C73" s="19" t="str">
        <f aca="false">IFERROR(INDEX(Overall!$F$2:$F$1000,MATCH("RMF|72",Overall!$I$2:$I$1000,0)),"")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IF(B74="","",COUNTIFS(Overall!$C$2:$C$1000,"RMF",Overall!$F$2:$F$1000,"&gt;"&amp;C74)+1)</f>
        <v/>
      </c>
      <c r="B74" s="11" t="str">
        <f aca="false">IFERROR(INDEX(Overall!$B$2:$B$1000,MATCH("RMF|73",Overall!$I$2:$I$1000,0)),"")</f>
        <v/>
      </c>
      <c r="C74" s="19" t="str">
        <f aca="false">IFERROR(INDEX(Overall!$F$2:$F$1000,MATCH("RMF|73",Overall!$I$2:$I$1000,0)),"")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IF(B75="","",COUNTIFS(Overall!$C$2:$C$1000,"RMF",Overall!$F$2:$F$1000,"&gt;"&amp;C75)+1)</f>
        <v/>
      </c>
      <c r="B75" s="11" t="str">
        <f aca="false">IFERROR(INDEX(Overall!$B$2:$B$1000,MATCH("RMF|74",Overall!$I$2:$I$1000,0)),"")</f>
        <v/>
      </c>
      <c r="C75" s="19" t="str">
        <f aca="false">IFERROR(INDEX(Overall!$F$2:$F$1000,MATCH("RMF|74",Overall!$I$2:$I$1000,0)),"")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IF(B76="","",COUNTIFS(Overall!$C$2:$C$1000,"RMF",Overall!$F$2:$F$1000,"&gt;"&amp;C76)+1)</f>
        <v/>
      </c>
      <c r="B76" s="11" t="str">
        <f aca="false">IFERROR(INDEX(Overall!$B$2:$B$1000,MATCH("RMF|75",Overall!$I$2:$I$1000,0)),"")</f>
        <v/>
      </c>
      <c r="C76" s="19" t="str">
        <f aca="false">IFERROR(INDEX(Overall!$F$2:$F$1000,MATCH("RMF|75",Overall!$I$2:$I$1000,0)),"")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IF(B77="","",COUNTIFS(Overall!$C$2:$C$1000,"RMF",Overall!$F$2:$F$1000,"&gt;"&amp;C77)+1)</f>
        <v/>
      </c>
      <c r="B77" s="11" t="str">
        <f aca="false">IFERROR(INDEX(Overall!$B$2:$B$1000,MATCH("RMF|76",Overall!$I$2:$I$1000,0)),"")</f>
        <v/>
      </c>
      <c r="C77" s="19" t="str">
        <f aca="false">IFERROR(INDEX(Overall!$F$2:$F$1000,MATCH("RMF|76",Overall!$I$2:$I$1000,0)),"")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IF(B78="","",COUNTIFS(Overall!$C$2:$C$1000,"RMF",Overall!$F$2:$F$1000,"&gt;"&amp;C78)+1)</f>
        <v/>
      </c>
      <c r="B78" s="11" t="str">
        <f aca="false">IFERROR(INDEX(Overall!$B$2:$B$1000,MATCH("RMF|77",Overall!$I$2:$I$1000,0)),"")</f>
        <v/>
      </c>
      <c r="C78" s="19" t="str">
        <f aca="false">IFERROR(INDEX(Overall!$F$2:$F$1000,MATCH("RMF|77",Overall!$I$2:$I$1000,0)),"")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IF(B79="","",COUNTIFS(Overall!$C$2:$C$1000,"RMF",Overall!$F$2:$F$1000,"&gt;"&amp;C79)+1)</f>
        <v/>
      </c>
      <c r="B79" s="11" t="str">
        <f aca="false">IFERROR(INDEX(Overall!$B$2:$B$1000,MATCH("RMF|78",Overall!$I$2:$I$1000,0)),"")</f>
        <v/>
      </c>
      <c r="C79" s="19" t="str">
        <f aca="false">IFERROR(INDEX(Overall!$F$2:$F$1000,MATCH("RMF|78",Overall!$I$2:$I$1000,0)),"")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IF(B80="","",COUNTIFS(Overall!$C$2:$C$1000,"RMF",Overall!$F$2:$F$1000,"&gt;"&amp;C80)+1)</f>
        <v/>
      </c>
      <c r="B80" s="11" t="str">
        <f aca="false">IFERROR(INDEX(Overall!$B$2:$B$1000,MATCH("RMF|79",Overall!$I$2:$I$1000,0)),"")</f>
        <v/>
      </c>
      <c r="C80" s="19" t="str">
        <f aca="false">IFERROR(INDEX(Overall!$F$2:$F$1000,MATCH("RMF|79",Overall!$I$2:$I$1000,0)),"")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IF(B81="","",COUNTIFS(Overall!$C$2:$C$1000,"RMF",Overall!$F$2:$F$1000,"&gt;"&amp;C81)+1)</f>
        <v/>
      </c>
      <c r="B81" s="11" t="str">
        <f aca="false">IFERROR(INDEX(Overall!$B$2:$B$1000,MATCH("RMF|80",Overall!$I$2:$I$1000,0)),"")</f>
        <v/>
      </c>
      <c r="C81" s="19" t="str">
        <f aca="false">IFERROR(INDEX(Overall!$F$2:$F$1000,MATCH("RMF|80",Overall!$I$2:$I$1000,0)),"")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IF(B82="","",COUNTIFS(Overall!$C$2:$C$1000,"RMF",Overall!$F$2:$F$1000,"&gt;"&amp;C82)+1)</f>
        <v/>
      </c>
      <c r="B82" s="11" t="str">
        <f aca="false">IFERROR(INDEX(Overall!$B$2:$B$1000,MATCH("RMF|81",Overall!$I$2:$I$1000,0)),"")</f>
        <v/>
      </c>
      <c r="C82" s="19" t="str">
        <f aca="false">IFERROR(INDEX(Overall!$F$2:$F$1000,MATCH("RMF|81",Overall!$I$2:$I$1000,0)),"")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IF(B83="","",COUNTIFS(Overall!$C$2:$C$1000,"RMF",Overall!$F$2:$F$1000,"&gt;"&amp;C83)+1)</f>
        <v/>
      </c>
      <c r="B83" s="11" t="str">
        <f aca="false">IFERROR(INDEX(Overall!$B$2:$B$1000,MATCH("RMF|82",Overall!$I$2:$I$1000,0)),"")</f>
        <v/>
      </c>
      <c r="C83" s="19" t="str">
        <f aca="false">IFERROR(INDEX(Overall!$F$2:$F$1000,MATCH("RMF|82",Overall!$I$2:$I$1000,0)),"")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IF(B84="","",COUNTIFS(Overall!$C$2:$C$1000,"RMF",Overall!$F$2:$F$1000,"&gt;"&amp;C84)+1)</f>
        <v/>
      </c>
      <c r="B84" s="11" t="str">
        <f aca="false">IFERROR(INDEX(Overall!$B$2:$B$1000,MATCH("RMF|83",Overall!$I$2:$I$1000,0)),"")</f>
        <v/>
      </c>
      <c r="C84" s="19" t="str">
        <f aca="false">IFERROR(INDEX(Overall!$F$2:$F$1000,MATCH("RMF|83",Overall!$I$2:$I$1000,0)),"")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IF(B85="","",COUNTIFS(Overall!$C$2:$C$1000,"RMF",Overall!$F$2:$F$1000,"&gt;"&amp;C85)+1)</f>
        <v/>
      </c>
      <c r="B85" s="11" t="str">
        <f aca="false">IFERROR(INDEX(Overall!$B$2:$B$1000,MATCH("RMF|84",Overall!$I$2:$I$1000,0)),"")</f>
        <v/>
      </c>
      <c r="C85" s="19" t="str">
        <f aca="false">IFERROR(INDEX(Overall!$F$2:$F$1000,MATCH("RMF|84",Overall!$I$2:$I$1000,0)),"")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IF(B86="","",COUNTIFS(Overall!$C$2:$C$1000,"RMF",Overall!$F$2:$F$1000,"&gt;"&amp;C86)+1)</f>
        <v/>
      </c>
      <c r="B86" s="11" t="str">
        <f aca="false">IFERROR(INDEX(Overall!$B$2:$B$1000,MATCH("RMF|85",Overall!$I$2:$I$1000,0)),"")</f>
        <v/>
      </c>
      <c r="C86" s="19" t="str">
        <f aca="false">IFERROR(INDEX(Overall!$F$2:$F$1000,MATCH("RMF|85",Overall!$I$2:$I$1000,0)),"")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IF(B87="","",COUNTIFS(Overall!$C$2:$C$1000,"RMF",Overall!$F$2:$F$1000,"&gt;"&amp;C87)+1)</f>
        <v/>
      </c>
      <c r="B87" s="11" t="str">
        <f aca="false">IFERROR(INDEX(Overall!$B$2:$B$1000,MATCH("RMF|86",Overall!$I$2:$I$1000,0)),"")</f>
        <v/>
      </c>
      <c r="C87" s="19" t="str">
        <f aca="false">IFERROR(INDEX(Overall!$F$2:$F$1000,MATCH("RMF|86",Overall!$I$2:$I$1000,0)),"")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IF(B88="","",COUNTIFS(Overall!$C$2:$C$1000,"RMF",Overall!$F$2:$F$1000,"&gt;"&amp;C88)+1)</f>
        <v/>
      </c>
      <c r="B88" s="11" t="str">
        <f aca="false">IFERROR(INDEX(Overall!$B$2:$B$1000,MATCH("RMF|87",Overall!$I$2:$I$1000,0)),"")</f>
        <v/>
      </c>
      <c r="C88" s="19" t="str">
        <f aca="false">IFERROR(INDEX(Overall!$F$2:$F$1000,MATCH("RMF|87",Overall!$I$2:$I$1000,0)),"")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IF(B89="","",COUNTIFS(Overall!$C$2:$C$1000,"RMF",Overall!$F$2:$F$1000,"&gt;"&amp;C89)+1)</f>
        <v/>
      </c>
      <c r="B89" s="11" t="str">
        <f aca="false">IFERROR(INDEX(Overall!$B$2:$B$1000,MATCH("RMF|88",Overall!$I$2:$I$1000,0)),"")</f>
        <v/>
      </c>
      <c r="C89" s="19" t="str">
        <f aca="false">IFERROR(INDEX(Overall!$F$2:$F$1000,MATCH("RMF|88",Overall!$I$2:$I$1000,0)),"")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IF(B90="","",COUNTIFS(Overall!$C$2:$C$1000,"RMF",Overall!$F$2:$F$1000,"&gt;"&amp;C90)+1)</f>
        <v/>
      </c>
      <c r="B90" s="11" t="str">
        <f aca="false">IFERROR(INDEX(Overall!$B$2:$B$1000,MATCH("RMF|89",Overall!$I$2:$I$1000,0)),"")</f>
        <v/>
      </c>
      <c r="C90" s="19" t="str">
        <f aca="false">IFERROR(INDEX(Overall!$F$2:$F$1000,MATCH("RMF|89",Overall!$I$2:$I$1000,0)),"")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IF(B91="","",COUNTIFS(Overall!$C$2:$C$1000,"RMF",Overall!$F$2:$F$1000,"&gt;"&amp;C91)+1)</f>
        <v/>
      </c>
      <c r="B91" s="11" t="str">
        <f aca="false">IFERROR(INDEX(Overall!$B$2:$B$1000,MATCH("RMF|90",Overall!$I$2:$I$1000,0)),"")</f>
        <v/>
      </c>
      <c r="C91" s="19" t="str">
        <f aca="false">IFERROR(INDEX(Overall!$F$2:$F$1000,MATCH("RMF|90",Overall!$I$2:$I$1000,0)),"")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IF(B92="","",COUNTIFS(Overall!$C$2:$C$1000,"RMF",Overall!$F$2:$F$1000,"&gt;"&amp;C92)+1)</f>
        <v/>
      </c>
      <c r="B92" s="11" t="str">
        <f aca="false">IFERROR(INDEX(Overall!$B$2:$B$1000,MATCH("RMF|91",Overall!$I$2:$I$1000,0)),"")</f>
        <v/>
      </c>
      <c r="C92" s="19" t="str">
        <f aca="false">IFERROR(INDEX(Overall!$F$2:$F$1000,MATCH("RMF|91",Overall!$I$2:$I$1000,0)),"")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IF(B93="","",COUNTIFS(Overall!$C$2:$C$1000,"RMF",Overall!$F$2:$F$1000,"&gt;"&amp;C93)+1)</f>
        <v/>
      </c>
      <c r="B93" s="11" t="str">
        <f aca="false">IFERROR(INDEX(Overall!$B$2:$B$1000,MATCH("RMF|92",Overall!$I$2:$I$1000,0)),"")</f>
        <v/>
      </c>
      <c r="C93" s="19" t="str">
        <f aca="false">IFERROR(INDEX(Overall!$F$2:$F$1000,MATCH("RMF|92",Overall!$I$2:$I$1000,0)),"")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IF(B94="","",COUNTIFS(Overall!$C$2:$C$1000,"RMF",Overall!$F$2:$F$1000,"&gt;"&amp;C94)+1)</f>
        <v/>
      </c>
      <c r="B94" s="11" t="str">
        <f aca="false">IFERROR(INDEX(Overall!$B$2:$B$1000,MATCH("RMF|93",Overall!$I$2:$I$1000,0)),"")</f>
        <v/>
      </c>
      <c r="C94" s="19" t="str">
        <f aca="false">IFERROR(INDEX(Overall!$F$2:$F$1000,MATCH("RMF|93",Overall!$I$2:$I$1000,0)),"")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IF(B95="","",COUNTIFS(Overall!$C$2:$C$1000,"RMF",Overall!$F$2:$F$1000,"&gt;"&amp;C95)+1)</f>
        <v/>
      </c>
      <c r="B95" s="11" t="str">
        <f aca="false">IFERROR(INDEX(Overall!$B$2:$B$1000,MATCH("RMF|94",Overall!$I$2:$I$1000,0)),"")</f>
        <v/>
      </c>
      <c r="C95" s="19" t="str">
        <f aca="false">IFERROR(INDEX(Overall!$F$2:$F$1000,MATCH("RMF|94",Overall!$I$2:$I$1000,0)),"")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IF(B96="","",COUNTIFS(Overall!$C$2:$C$1000,"RMF",Overall!$F$2:$F$1000,"&gt;"&amp;C96)+1)</f>
        <v/>
      </c>
      <c r="B96" s="11" t="str">
        <f aca="false">IFERROR(INDEX(Overall!$B$2:$B$1000,MATCH("RMF|95",Overall!$I$2:$I$1000,0)),"")</f>
        <v/>
      </c>
      <c r="C96" s="19" t="str">
        <f aca="false">IFERROR(INDEX(Overall!$F$2:$F$1000,MATCH("RMF|95",Overall!$I$2:$I$1000,0)),"")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IF(B97="","",COUNTIFS(Overall!$C$2:$C$1000,"RMF",Overall!$F$2:$F$1000,"&gt;"&amp;C97)+1)</f>
        <v/>
      </c>
      <c r="B97" s="11" t="str">
        <f aca="false">IFERROR(INDEX(Overall!$B$2:$B$1000,MATCH("RMF|96",Overall!$I$2:$I$1000,0)),"")</f>
        <v/>
      </c>
      <c r="C97" s="19" t="str">
        <f aca="false">IFERROR(INDEX(Overall!$F$2:$F$1000,MATCH("RMF|96",Overall!$I$2:$I$1000,0)),"")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IF(B98="","",COUNTIFS(Overall!$C$2:$C$1000,"RMF",Overall!$F$2:$F$1000,"&gt;"&amp;C98)+1)</f>
        <v/>
      </c>
      <c r="B98" s="11" t="str">
        <f aca="false">IFERROR(INDEX(Overall!$B$2:$B$1000,MATCH("RMF|97",Overall!$I$2:$I$1000,0)),"")</f>
        <v/>
      </c>
      <c r="C98" s="19" t="str">
        <f aca="false">IFERROR(INDEX(Overall!$F$2:$F$1000,MATCH("RMF|97",Overall!$I$2:$I$1000,0)),"")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IF(B99="","",COUNTIFS(Overall!$C$2:$C$1000,"RMF",Overall!$F$2:$F$1000,"&gt;"&amp;C99)+1)</f>
        <v/>
      </c>
      <c r="B99" s="11" t="str">
        <f aca="false">IFERROR(INDEX(Overall!$B$2:$B$1000,MATCH("RMF|98",Overall!$I$2:$I$1000,0)),"")</f>
        <v/>
      </c>
      <c r="C99" s="19" t="str">
        <f aca="false">IFERROR(INDEX(Overall!$F$2:$F$1000,MATCH("RMF|98",Overall!$I$2:$I$1000,0)),"")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IF(B100="","",COUNTIFS(Overall!$C$2:$C$1000,"RMF",Overall!$F$2:$F$1000,"&gt;"&amp;C100)+1)</f>
        <v/>
      </c>
      <c r="B100" s="11" t="str">
        <f aca="false">IFERROR(INDEX(Overall!$B$2:$B$1000,MATCH("RMF|99",Overall!$I$2:$I$1000,0)),"")</f>
        <v/>
      </c>
      <c r="C100" s="19" t="str">
        <f aca="false">IFERROR(INDEX(Overall!$F$2:$F$1000,MATCH("RMF|99",Overall!$I$2:$I$1000,0)),"")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IF(B101="","",COUNTIFS(Overall!$C$2:$C$1000,"RMF",Overall!$F$2:$F$1000,"&gt;"&amp;C101)+1)</f>
        <v/>
      </c>
      <c r="B101" s="11" t="str">
        <f aca="false">IFERROR(INDEX(Overall!$B$2:$B$1000,MATCH("RMF|100",Overall!$I$2:$I$1000,0)),"")</f>
        <v/>
      </c>
      <c r="C101" s="19" t="str">
        <f aca="false">IFERROR(INDEX(Overall!$F$2:$F$1000,MATCH("RMF|100",Overall!$I$2:$I$1000,0)),"")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IF(B102="","",COUNTIFS(Overall!$C$2:$C$1000,"RMF",Overall!$F$2:$F$1000,"&gt;"&amp;C102)+1)</f>
        <v/>
      </c>
      <c r="B102" s="11" t="str">
        <f aca="false">IFERROR(INDEX(Overall!$B$2:$B$1000,MATCH("RMF|101",Overall!$I$2:$I$1000,0)),"")</f>
        <v/>
      </c>
      <c r="C102" s="19" t="str">
        <f aca="false">IFERROR(INDEX(Overall!$F$2:$F$1000,MATCH("RMF|101",Overall!$I$2:$I$1000,0)),"")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IF(B103="","",COUNTIFS(Overall!$C$2:$C$1000,"RMF",Overall!$F$2:$F$1000,"&gt;"&amp;C103)+1)</f>
        <v/>
      </c>
      <c r="B103" s="11" t="str">
        <f aca="false">IFERROR(INDEX(Overall!$B$2:$B$1000,MATCH("RMF|102",Overall!$I$2:$I$1000,0)),"")</f>
        <v/>
      </c>
      <c r="C103" s="19" t="str">
        <f aca="false">IFERROR(INDEX(Overall!$F$2:$F$1000,MATCH("RMF|102",Overall!$I$2:$I$1000,0)),"")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IF(B104="","",COUNTIFS(Overall!$C$2:$C$1000,"RMF",Overall!$F$2:$F$1000,"&gt;"&amp;C104)+1)</f>
        <v/>
      </c>
      <c r="B104" s="11" t="str">
        <f aca="false">IFERROR(INDEX(Overall!$B$2:$B$1000,MATCH("RMF|103",Overall!$I$2:$I$1000,0)),"")</f>
        <v/>
      </c>
      <c r="C104" s="19" t="str">
        <f aca="false">IFERROR(INDEX(Overall!$F$2:$F$1000,MATCH("RMF|103",Overall!$I$2:$I$1000,0)),"")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IF(B105="","",COUNTIFS(Overall!$C$2:$C$1000,"RMF",Overall!$F$2:$F$1000,"&gt;"&amp;C105)+1)</f>
        <v/>
      </c>
      <c r="B105" s="11" t="str">
        <f aca="false">IFERROR(INDEX(Overall!$B$2:$B$1000,MATCH("RMF|104",Overall!$I$2:$I$1000,0)),"")</f>
        <v/>
      </c>
      <c r="C105" s="19" t="str">
        <f aca="false">IFERROR(INDEX(Overall!$F$2:$F$1000,MATCH("RMF|104",Overall!$I$2:$I$1000,0)),"")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IF(B106="","",COUNTIFS(Overall!$C$2:$C$1000,"RMF",Overall!$F$2:$F$1000,"&gt;"&amp;C106)+1)</f>
        <v/>
      </c>
      <c r="B106" s="11" t="str">
        <f aca="false">IFERROR(INDEX(Overall!$B$2:$B$1000,MATCH("RMF|105",Overall!$I$2:$I$1000,0)),"")</f>
        <v/>
      </c>
      <c r="C106" s="19" t="str">
        <f aca="false">IFERROR(INDEX(Overall!$F$2:$F$1000,MATCH("RMF|105",Overall!$I$2:$I$1000,0)),"")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IF(B107="","",COUNTIFS(Overall!$C$2:$C$1000,"RMF",Overall!$F$2:$F$1000,"&gt;"&amp;C107)+1)</f>
        <v/>
      </c>
      <c r="B107" s="11" t="str">
        <f aca="false">IFERROR(INDEX(Overall!$B$2:$B$1000,MATCH("RMF|106",Overall!$I$2:$I$1000,0)),"")</f>
        <v/>
      </c>
      <c r="C107" s="19" t="str">
        <f aca="false">IFERROR(INDEX(Overall!$F$2:$F$1000,MATCH("RMF|106",Overall!$I$2:$I$1000,0)),"")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IF(B108="","",COUNTIFS(Overall!$C$2:$C$1000,"RMF",Overall!$F$2:$F$1000,"&gt;"&amp;C108)+1)</f>
        <v/>
      </c>
      <c r="B108" s="11" t="str">
        <f aca="false">IFERROR(INDEX(Overall!$B$2:$B$1000,MATCH("RMF|107",Overall!$I$2:$I$1000,0)),"")</f>
        <v/>
      </c>
      <c r="C108" s="19" t="str">
        <f aca="false">IFERROR(INDEX(Overall!$F$2:$F$1000,MATCH("RMF|107",Overall!$I$2:$I$1000,0)),"")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IF(B109="","",COUNTIFS(Overall!$C$2:$C$1000,"RMF",Overall!$F$2:$F$1000,"&gt;"&amp;C109)+1)</f>
        <v/>
      </c>
      <c r="B109" s="11" t="str">
        <f aca="false">IFERROR(INDEX(Overall!$B$2:$B$1000,MATCH("RMF|108",Overall!$I$2:$I$1000,0)),"")</f>
        <v/>
      </c>
      <c r="C109" s="19" t="str">
        <f aca="false">IFERROR(INDEX(Overall!$F$2:$F$1000,MATCH("RMF|108",Overall!$I$2:$I$1000,0)),"")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IF(B110="","",COUNTIFS(Overall!$C$2:$C$1000,"RMF",Overall!$F$2:$F$1000,"&gt;"&amp;C110)+1)</f>
        <v/>
      </c>
      <c r="B110" s="11" t="str">
        <f aca="false">IFERROR(INDEX(Overall!$B$2:$B$1000,MATCH("RMF|109",Overall!$I$2:$I$1000,0)),"")</f>
        <v/>
      </c>
      <c r="C110" s="19" t="str">
        <f aca="false">IFERROR(INDEX(Overall!$F$2:$F$1000,MATCH("RMF|109",Overall!$I$2:$I$1000,0)),"")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IF(B111="","",COUNTIFS(Overall!$C$2:$C$1000,"RMF",Overall!$F$2:$F$1000,"&gt;"&amp;C111)+1)</f>
        <v/>
      </c>
      <c r="B111" s="11" t="str">
        <f aca="false">IFERROR(INDEX(Overall!$B$2:$B$1000,MATCH("RMF|110",Overall!$I$2:$I$1000,0)),"")</f>
        <v/>
      </c>
      <c r="C111" s="19" t="str">
        <f aca="false">IFERROR(INDEX(Overall!$F$2:$F$1000,MATCH("RMF|110",Overall!$I$2:$I$1000,0)),"")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IF(B112="","",COUNTIFS(Overall!$C$2:$C$1000,"RMF",Overall!$F$2:$F$1000,"&gt;"&amp;C112)+1)</f>
        <v/>
      </c>
      <c r="B112" s="11" t="str">
        <f aca="false">IFERROR(INDEX(Overall!$B$2:$B$1000,MATCH("RMF|111",Overall!$I$2:$I$1000,0)),"")</f>
        <v/>
      </c>
      <c r="C112" s="19" t="str">
        <f aca="false">IFERROR(INDEX(Overall!$F$2:$F$1000,MATCH("RMF|111",Overall!$I$2:$I$1000,0)),"")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IF(B113="","",COUNTIFS(Overall!$C$2:$C$1000,"RMF",Overall!$F$2:$F$1000,"&gt;"&amp;C113)+1)</f>
        <v/>
      </c>
      <c r="B113" s="11" t="str">
        <f aca="false">IFERROR(INDEX(Overall!$B$2:$B$1000,MATCH("RMF|112",Overall!$I$2:$I$1000,0)),"")</f>
        <v/>
      </c>
      <c r="C113" s="19" t="str">
        <f aca="false">IFERROR(INDEX(Overall!$F$2:$F$1000,MATCH("RMF|112",Overall!$I$2:$I$1000,0)),"")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IF(B114="","",COUNTIFS(Overall!$C$2:$C$1000,"RMF",Overall!$F$2:$F$1000,"&gt;"&amp;C114)+1)</f>
        <v/>
      </c>
      <c r="B114" s="11" t="str">
        <f aca="false">IFERROR(INDEX(Overall!$B$2:$B$1000,MATCH("RMF|113",Overall!$I$2:$I$1000,0)),"")</f>
        <v/>
      </c>
      <c r="C114" s="19" t="str">
        <f aca="false">IFERROR(INDEX(Overall!$F$2:$F$1000,MATCH("RMF|113",Overall!$I$2:$I$1000,0)),"")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IF(B115="","",COUNTIFS(Overall!$C$2:$C$1000,"RMF",Overall!$F$2:$F$1000,"&gt;"&amp;C115)+1)</f>
        <v/>
      </c>
      <c r="B115" s="11" t="str">
        <f aca="false">IFERROR(INDEX(Overall!$B$2:$B$1000,MATCH("RMF|114",Overall!$I$2:$I$1000,0)),"")</f>
        <v/>
      </c>
      <c r="C115" s="19" t="str">
        <f aca="false">IFERROR(INDEX(Overall!$F$2:$F$1000,MATCH("RMF|114",Overall!$I$2:$I$1000,0)),"")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IF(B116="","",COUNTIFS(Overall!$C$2:$C$1000,"RMF",Overall!$F$2:$F$1000,"&gt;"&amp;C116)+1)</f>
        <v/>
      </c>
      <c r="B116" s="11" t="str">
        <f aca="false">IFERROR(INDEX(Overall!$B$2:$B$1000,MATCH("RMF|115",Overall!$I$2:$I$1000,0)),"")</f>
        <v/>
      </c>
      <c r="C116" s="19" t="str">
        <f aca="false">IFERROR(INDEX(Overall!$F$2:$F$1000,MATCH("RMF|115",Overall!$I$2:$I$1000,0)),"")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IF(B117="","",COUNTIFS(Overall!$C$2:$C$1000,"RMF",Overall!$F$2:$F$1000,"&gt;"&amp;C117)+1)</f>
        <v/>
      </c>
      <c r="B117" s="11" t="str">
        <f aca="false">IFERROR(INDEX(Overall!$B$2:$B$1000,MATCH("RMF|116",Overall!$I$2:$I$1000,0)),"")</f>
        <v/>
      </c>
      <c r="C117" s="19" t="str">
        <f aca="false">IFERROR(INDEX(Overall!$F$2:$F$1000,MATCH("RMF|116",Overall!$I$2:$I$1000,0)),"")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IF(B118="","",COUNTIFS(Overall!$C$2:$C$1000,"RMF",Overall!$F$2:$F$1000,"&gt;"&amp;C118)+1)</f>
        <v/>
      </c>
      <c r="B118" s="11" t="str">
        <f aca="false">IFERROR(INDEX(Overall!$B$2:$B$1000,MATCH("RMF|117",Overall!$I$2:$I$1000,0)),"")</f>
        <v/>
      </c>
      <c r="C118" s="19" t="str">
        <f aca="false">IFERROR(INDEX(Overall!$F$2:$F$1000,MATCH("RMF|117",Overall!$I$2:$I$1000,0)),"")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IF(B119="","",COUNTIFS(Overall!$C$2:$C$1000,"RMF",Overall!$F$2:$F$1000,"&gt;"&amp;C119)+1)</f>
        <v/>
      </c>
      <c r="B119" s="11" t="str">
        <f aca="false">IFERROR(INDEX(Overall!$B$2:$B$1000,MATCH("RMF|118",Overall!$I$2:$I$1000,0)),"")</f>
        <v/>
      </c>
      <c r="C119" s="19" t="str">
        <f aca="false">IFERROR(INDEX(Overall!$F$2:$F$1000,MATCH("RMF|118",Overall!$I$2:$I$1000,0)),"")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IF(B120="","",COUNTIFS(Overall!$C$2:$C$1000,"RMF",Overall!$F$2:$F$1000,"&gt;"&amp;C120)+1)</f>
        <v/>
      </c>
      <c r="B120" s="11" t="str">
        <f aca="false">IFERROR(INDEX(Overall!$B$2:$B$1000,MATCH("RMF|119",Overall!$I$2:$I$1000,0)),"")</f>
        <v/>
      </c>
      <c r="C120" s="19" t="str">
        <f aca="false">IFERROR(INDEX(Overall!$F$2:$F$1000,MATCH("RMF|119",Overall!$I$2:$I$1000,0)),"")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IF(B121="","",COUNTIFS(Overall!$C$2:$C$1000,"RMF",Overall!$F$2:$F$1000,"&gt;"&amp;C121)+1)</f>
        <v/>
      </c>
      <c r="B121" s="11" t="str">
        <f aca="false">IFERROR(INDEX(Overall!$B$2:$B$1000,MATCH("RMF|120",Overall!$I$2:$I$1000,0)),"")</f>
        <v/>
      </c>
      <c r="C121" s="19" t="str">
        <f aca="false">IFERROR(INDEX(Overall!$F$2:$F$1000,MATCH("RMF|120",Overall!$I$2:$I$1000,0)),"")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IF(B122="","",COUNTIFS(Overall!$C$2:$C$1000,"RMF",Overall!$F$2:$F$1000,"&gt;"&amp;C122)+1)</f>
        <v/>
      </c>
      <c r="B122" s="11" t="str">
        <f aca="false">IFERROR(INDEX(Overall!$B$2:$B$1000,MATCH("RMF|121",Overall!$I$2:$I$1000,0)),"")</f>
        <v/>
      </c>
      <c r="C122" s="19" t="str">
        <f aca="false">IFERROR(INDEX(Overall!$F$2:$F$1000,MATCH("RMF|121",Overall!$I$2:$I$1000,0)),"")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IF(B123="","",COUNTIFS(Overall!$C$2:$C$1000,"RMF",Overall!$F$2:$F$1000,"&gt;"&amp;C123)+1)</f>
        <v/>
      </c>
      <c r="B123" s="11" t="str">
        <f aca="false">IFERROR(INDEX(Overall!$B$2:$B$1000,MATCH("RMF|122",Overall!$I$2:$I$1000,0)),"")</f>
        <v/>
      </c>
      <c r="C123" s="19" t="str">
        <f aca="false">IFERROR(INDEX(Overall!$F$2:$F$1000,MATCH("RMF|122",Overall!$I$2:$I$1000,0)),"")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IF(B124="","",COUNTIFS(Overall!$C$2:$C$1000,"RMF",Overall!$F$2:$F$1000,"&gt;"&amp;C124)+1)</f>
        <v/>
      </c>
      <c r="B124" s="11" t="str">
        <f aca="false">IFERROR(INDEX(Overall!$B$2:$B$1000,MATCH("RMF|123",Overall!$I$2:$I$1000,0)),"")</f>
        <v/>
      </c>
      <c r="C124" s="19" t="str">
        <f aca="false">IFERROR(INDEX(Overall!$F$2:$F$1000,MATCH("RMF|123",Overall!$I$2:$I$1000,0)),"")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IF(B125="","",COUNTIFS(Overall!$C$2:$C$1000,"RMF",Overall!$F$2:$F$1000,"&gt;"&amp;C125)+1)</f>
        <v/>
      </c>
      <c r="B125" s="11" t="str">
        <f aca="false">IFERROR(INDEX(Overall!$B$2:$B$1000,MATCH("RMF|124",Overall!$I$2:$I$1000,0)),"")</f>
        <v/>
      </c>
      <c r="C125" s="19" t="str">
        <f aca="false">IFERROR(INDEX(Overall!$F$2:$F$1000,MATCH("RMF|124",Overall!$I$2:$I$1000,0)),"")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IF(B126="","",COUNTIFS(Overall!$C$2:$C$1000,"RMF",Overall!$F$2:$F$1000,"&gt;"&amp;C126)+1)</f>
        <v/>
      </c>
      <c r="B126" s="11" t="str">
        <f aca="false">IFERROR(INDEX(Overall!$B$2:$B$1000,MATCH("RMF|125",Overall!$I$2:$I$1000,0)),"")</f>
        <v/>
      </c>
      <c r="C126" s="19" t="str">
        <f aca="false">IFERROR(INDEX(Overall!$F$2:$F$1000,MATCH("RMF|125",Overall!$I$2:$I$1000,0)),"")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IF(B127="","",COUNTIFS(Overall!$C$2:$C$1000,"RMF",Overall!$F$2:$F$1000,"&gt;"&amp;C127)+1)</f>
        <v/>
      </c>
      <c r="B127" s="11" t="str">
        <f aca="false">IFERROR(INDEX(Overall!$B$2:$B$1000,MATCH("RMF|126",Overall!$I$2:$I$1000,0)),"")</f>
        <v/>
      </c>
      <c r="C127" s="19" t="str">
        <f aca="false">IFERROR(INDEX(Overall!$F$2:$F$1000,MATCH("RMF|126",Overall!$I$2:$I$1000,0)),"")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IF(B128="","",COUNTIFS(Overall!$C$2:$C$1000,"RMF",Overall!$F$2:$F$1000,"&gt;"&amp;C128)+1)</f>
        <v/>
      </c>
      <c r="B128" s="11" t="str">
        <f aca="false">IFERROR(INDEX(Overall!$B$2:$B$1000,MATCH("RMF|127",Overall!$I$2:$I$1000,0)),"")</f>
        <v/>
      </c>
      <c r="C128" s="19" t="str">
        <f aca="false">IFERROR(INDEX(Overall!$F$2:$F$1000,MATCH("RMF|127",Overall!$I$2:$I$1000,0)),"")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IF(B129="","",COUNTIFS(Overall!$C$2:$C$1000,"RMF",Overall!$F$2:$F$1000,"&gt;"&amp;C129)+1)</f>
        <v/>
      </c>
      <c r="B129" s="11" t="str">
        <f aca="false">IFERROR(INDEX(Overall!$B$2:$B$1000,MATCH("RMF|128",Overall!$I$2:$I$1000,0)),"")</f>
        <v/>
      </c>
      <c r="C129" s="19" t="str">
        <f aca="false">IFERROR(INDEX(Overall!$F$2:$F$1000,MATCH("RMF|128",Overall!$I$2:$I$1000,0)),"")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IF(B130="","",COUNTIFS(Overall!$C$2:$C$1000,"RMF",Overall!$F$2:$F$1000,"&gt;"&amp;C130)+1)</f>
        <v/>
      </c>
      <c r="B130" s="11" t="str">
        <f aca="false">IFERROR(INDEX(Overall!$B$2:$B$1000,MATCH("RMF|129",Overall!$I$2:$I$1000,0)),"")</f>
        <v/>
      </c>
      <c r="C130" s="19" t="str">
        <f aca="false">IFERROR(INDEX(Overall!$F$2:$F$1000,MATCH("RMF|129",Overall!$I$2:$I$1000,0)),"")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IF(B131="","",COUNTIFS(Overall!$C$2:$C$1000,"RMF",Overall!$F$2:$F$1000,"&gt;"&amp;C131)+1)</f>
        <v/>
      </c>
      <c r="B131" s="11" t="str">
        <f aca="false">IFERROR(INDEX(Overall!$B$2:$B$1000,MATCH("RMF|130",Overall!$I$2:$I$1000,0)),"")</f>
        <v/>
      </c>
      <c r="C131" s="19" t="str">
        <f aca="false">IFERROR(INDEX(Overall!$F$2:$F$1000,MATCH("RMF|130",Overall!$I$2:$I$1000,0)),"")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IF(B132="","",COUNTIFS(Overall!$C$2:$C$1000,"RMF",Overall!$F$2:$F$1000,"&gt;"&amp;C132)+1)</f>
        <v/>
      </c>
      <c r="B132" s="11" t="str">
        <f aca="false">IFERROR(INDEX(Overall!$B$2:$B$1000,MATCH("RMF|131",Overall!$I$2:$I$1000,0)),"")</f>
        <v/>
      </c>
      <c r="C132" s="19" t="str">
        <f aca="false">IFERROR(INDEX(Overall!$F$2:$F$1000,MATCH("RMF|131",Overall!$I$2:$I$1000,0)),"")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IF(B133="","",COUNTIFS(Overall!$C$2:$C$1000,"RMF",Overall!$F$2:$F$1000,"&gt;"&amp;C133)+1)</f>
        <v/>
      </c>
      <c r="B133" s="11" t="str">
        <f aca="false">IFERROR(INDEX(Overall!$B$2:$B$1000,MATCH("RMF|132",Overall!$I$2:$I$1000,0)),"")</f>
        <v/>
      </c>
      <c r="C133" s="19" t="str">
        <f aca="false">IFERROR(INDEX(Overall!$F$2:$F$1000,MATCH("RMF|132",Overall!$I$2:$I$1000,0)),"")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IF(B134="","",COUNTIFS(Overall!$C$2:$C$1000,"RMF",Overall!$F$2:$F$1000,"&gt;"&amp;C134)+1)</f>
        <v/>
      </c>
      <c r="B134" s="11" t="str">
        <f aca="false">IFERROR(INDEX(Overall!$B$2:$B$1000,MATCH("RMF|133",Overall!$I$2:$I$1000,0)),"")</f>
        <v/>
      </c>
      <c r="C134" s="19" t="str">
        <f aca="false">IFERROR(INDEX(Overall!$F$2:$F$1000,MATCH("RMF|133",Overall!$I$2:$I$1000,0)),"")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IF(B135="","",COUNTIFS(Overall!$C$2:$C$1000,"RMF",Overall!$F$2:$F$1000,"&gt;"&amp;C135)+1)</f>
        <v/>
      </c>
      <c r="B135" s="11" t="str">
        <f aca="false">IFERROR(INDEX(Overall!$B$2:$B$1000,MATCH("RMF|134",Overall!$I$2:$I$1000,0)),"")</f>
        <v/>
      </c>
      <c r="C135" s="19" t="str">
        <f aca="false">IFERROR(INDEX(Overall!$F$2:$F$1000,MATCH("RMF|134",Overall!$I$2:$I$1000,0)),"")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IF(B136="","",COUNTIFS(Overall!$C$2:$C$1000,"RMF",Overall!$F$2:$F$1000,"&gt;"&amp;C136)+1)</f>
        <v/>
      </c>
      <c r="B136" s="11" t="str">
        <f aca="false">IFERROR(INDEX(Overall!$B$2:$B$1000,MATCH("RMF|135",Overall!$I$2:$I$1000,0)),"")</f>
        <v/>
      </c>
      <c r="C136" s="19" t="str">
        <f aca="false">IFERROR(INDEX(Overall!$F$2:$F$1000,MATCH("RMF|135",Overall!$I$2:$I$1000,0)),"")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IF(B137="","",COUNTIFS(Overall!$C$2:$C$1000,"RMF",Overall!$F$2:$F$1000,"&gt;"&amp;C137)+1)</f>
        <v/>
      </c>
      <c r="B137" s="11" t="str">
        <f aca="false">IFERROR(INDEX(Overall!$B$2:$B$1000,MATCH("RMF|136",Overall!$I$2:$I$1000,0)),"")</f>
        <v/>
      </c>
      <c r="C137" s="19" t="str">
        <f aca="false">IFERROR(INDEX(Overall!$F$2:$F$1000,MATCH("RMF|136",Overall!$I$2:$I$1000,0)),"")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IF(B138="","",COUNTIFS(Overall!$C$2:$C$1000,"RMF",Overall!$F$2:$F$1000,"&gt;"&amp;C138)+1)</f>
        <v/>
      </c>
      <c r="B138" s="11" t="str">
        <f aca="false">IFERROR(INDEX(Overall!$B$2:$B$1000,MATCH("RMF|137",Overall!$I$2:$I$1000,0)),"")</f>
        <v/>
      </c>
      <c r="C138" s="19" t="str">
        <f aca="false">IFERROR(INDEX(Overall!$F$2:$F$1000,MATCH("RMF|137",Overall!$I$2:$I$1000,0)),"")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IF(B139="","",COUNTIFS(Overall!$C$2:$C$1000,"RMF",Overall!$F$2:$F$1000,"&gt;"&amp;C139)+1)</f>
        <v/>
      </c>
      <c r="B139" s="11" t="str">
        <f aca="false">IFERROR(INDEX(Overall!$B$2:$B$1000,MATCH("RMF|138",Overall!$I$2:$I$1000,0)),"")</f>
        <v/>
      </c>
      <c r="C139" s="19" t="str">
        <f aca="false">IFERROR(INDEX(Overall!$F$2:$F$1000,MATCH("RMF|138",Overall!$I$2:$I$1000,0)),"")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IF(B140="","",COUNTIFS(Overall!$C$2:$C$1000,"RMF",Overall!$F$2:$F$1000,"&gt;"&amp;C140)+1)</f>
        <v/>
      </c>
      <c r="B140" s="11" t="str">
        <f aca="false">IFERROR(INDEX(Overall!$B$2:$B$1000,MATCH("RMF|139",Overall!$I$2:$I$1000,0)),"")</f>
        <v/>
      </c>
      <c r="C140" s="19" t="str">
        <f aca="false">IFERROR(INDEX(Overall!$F$2:$F$1000,MATCH("RMF|139",Overall!$I$2:$I$1000,0)),"")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IF(B141="","",COUNTIFS(Overall!$C$2:$C$1000,"RMF",Overall!$F$2:$F$1000,"&gt;"&amp;C141)+1)</f>
        <v/>
      </c>
      <c r="B141" s="11" t="str">
        <f aca="false">IFERROR(INDEX(Overall!$B$2:$B$1000,MATCH("RMF|140",Overall!$I$2:$I$1000,0)),"")</f>
        <v/>
      </c>
      <c r="C141" s="19" t="str">
        <f aca="false">IFERROR(INDEX(Overall!$F$2:$F$1000,MATCH("RMF|140",Overall!$I$2:$I$1000,0)),"")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IF(B142="","",COUNTIFS(Overall!$C$2:$C$1000,"RMF",Overall!$F$2:$F$1000,"&gt;"&amp;C142)+1)</f>
        <v/>
      </c>
      <c r="B142" s="11" t="str">
        <f aca="false">IFERROR(INDEX(Overall!$B$2:$B$1000,MATCH("RMF|141",Overall!$I$2:$I$1000,0)),"")</f>
        <v/>
      </c>
      <c r="C142" s="19" t="str">
        <f aca="false">IFERROR(INDEX(Overall!$F$2:$F$1000,MATCH("RMF|141",Overall!$I$2:$I$1000,0)),"")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IF(B143="","",COUNTIFS(Overall!$C$2:$C$1000,"RMF",Overall!$F$2:$F$1000,"&gt;"&amp;C143)+1)</f>
        <v/>
      </c>
      <c r="B143" s="11" t="str">
        <f aca="false">IFERROR(INDEX(Overall!$B$2:$B$1000,MATCH("RMF|142",Overall!$I$2:$I$1000,0)),"")</f>
        <v/>
      </c>
      <c r="C143" s="19" t="str">
        <f aca="false">IFERROR(INDEX(Overall!$F$2:$F$1000,MATCH("RMF|142",Overall!$I$2:$I$1000,0)),"")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IF(B144="","",COUNTIFS(Overall!$C$2:$C$1000,"RMF",Overall!$F$2:$F$1000,"&gt;"&amp;C144)+1)</f>
        <v/>
      </c>
      <c r="B144" s="11" t="str">
        <f aca="false">IFERROR(INDEX(Overall!$B$2:$B$1000,MATCH("RMF|143",Overall!$I$2:$I$1000,0)),"")</f>
        <v/>
      </c>
      <c r="C144" s="19" t="str">
        <f aca="false">IFERROR(INDEX(Overall!$F$2:$F$1000,MATCH("RMF|143",Overall!$I$2:$I$1000,0)),"")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IF(B145="","",COUNTIFS(Overall!$C$2:$C$1000,"RMF",Overall!$F$2:$F$1000,"&gt;"&amp;C145)+1)</f>
        <v/>
      </c>
      <c r="B145" s="11" t="str">
        <f aca="false">IFERROR(INDEX(Overall!$B$2:$B$1000,MATCH("RMF|144",Overall!$I$2:$I$1000,0)),"")</f>
        <v/>
      </c>
      <c r="C145" s="19" t="str">
        <f aca="false">IFERROR(INDEX(Overall!$F$2:$F$1000,MATCH("RMF|144",Overall!$I$2:$I$1000,0)),"")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IF(B146="","",COUNTIFS(Overall!$C$2:$C$1000,"RMF",Overall!$F$2:$F$1000,"&gt;"&amp;C146)+1)</f>
        <v/>
      </c>
      <c r="B146" s="11" t="str">
        <f aca="false">IFERROR(INDEX(Overall!$B$2:$B$1000,MATCH("RMF|145",Overall!$I$2:$I$1000,0)),"")</f>
        <v/>
      </c>
      <c r="C146" s="19" t="str">
        <f aca="false">IFERROR(INDEX(Overall!$F$2:$F$1000,MATCH("RMF|145",Overall!$I$2:$I$1000,0)),"")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IF(B147="","",COUNTIFS(Overall!$C$2:$C$1000,"RMF",Overall!$F$2:$F$1000,"&gt;"&amp;C147)+1)</f>
        <v/>
      </c>
      <c r="B147" s="11" t="str">
        <f aca="false">IFERROR(INDEX(Overall!$B$2:$B$1000,MATCH("RMF|146",Overall!$I$2:$I$1000,0)),"")</f>
        <v/>
      </c>
      <c r="C147" s="19" t="str">
        <f aca="false">IFERROR(INDEX(Overall!$F$2:$F$1000,MATCH("RMF|146",Overall!$I$2:$I$1000,0)),"")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IF(B148="","",COUNTIFS(Overall!$C$2:$C$1000,"RMF",Overall!$F$2:$F$1000,"&gt;"&amp;C148)+1)</f>
        <v/>
      </c>
      <c r="B148" s="11" t="str">
        <f aca="false">IFERROR(INDEX(Overall!$B$2:$B$1000,MATCH("RMF|147",Overall!$I$2:$I$1000,0)),"")</f>
        <v/>
      </c>
      <c r="C148" s="19" t="str">
        <f aca="false">IFERROR(INDEX(Overall!$F$2:$F$1000,MATCH("RMF|147",Overall!$I$2:$I$1000,0)),"")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IF(B149="","",COUNTIFS(Overall!$C$2:$C$1000,"RMF",Overall!$F$2:$F$1000,"&gt;"&amp;C149)+1)</f>
        <v/>
      </c>
      <c r="B149" s="11" t="str">
        <f aca="false">IFERROR(INDEX(Overall!$B$2:$B$1000,MATCH("RMF|148",Overall!$I$2:$I$1000,0)),"")</f>
        <v/>
      </c>
      <c r="C149" s="19" t="str">
        <f aca="false">IFERROR(INDEX(Overall!$F$2:$F$1000,MATCH("RMF|148",Overall!$I$2:$I$1000,0)),"")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IF(B150="","",COUNTIFS(Overall!$C$2:$C$1000,"RMF",Overall!$F$2:$F$1000,"&gt;"&amp;C150)+1)</f>
        <v/>
      </c>
      <c r="B150" s="11" t="str">
        <f aca="false">IFERROR(INDEX(Overall!$B$2:$B$1000,MATCH("RMF|149",Overall!$I$2:$I$1000,0)),"")</f>
        <v/>
      </c>
      <c r="C150" s="19" t="str">
        <f aca="false">IFERROR(INDEX(Overall!$F$2:$F$1000,MATCH("RMF|149",Overall!$I$2:$I$1000,0)),"")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IF(B151="","",COUNTIFS(Overall!$C$2:$C$1000,"RMF",Overall!$F$2:$F$1000,"&gt;"&amp;C151)+1)</f>
        <v/>
      </c>
      <c r="B151" s="11" t="str">
        <f aca="false">IFERROR(INDEX(Overall!$B$2:$B$1000,MATCH("RMF|150",Overall!$I$2:$I$1000,0)),"")</f>
        <v/>
      </c>
      <c r="C151" s="19" t="str">
        <f aca="false">IFERROR(INDEX(Overall!$F$2:$F$1000,MATCH("RMF|150",Overall!$I$2:$I$1000,0)),"")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BDD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IF(B2="","",COUNTIFS(Overall!$C$2:$C$1000,"AMF",Overall!$F$2:$F$1000,"&gt;"&amp;C2)+1)</f>
        <v>1</v>
      </c>
      <c r="B2" s="11" t="str">
        <f aca="false">IFERROR(INDEX(Overall!$B$2:$B$1000,MATCH("AMF|1",Overall!$I$2:$I$1000,0)),"")</f>
        <v>Whis</v>
      </c>
      <c r="C2" s="19" t="n">
        <f aca="false">IFERROR(INDEX(Overall!$F$2:$F$1000,MATCH("AMF|1",Overall!$I$2:$I$1000,0)),"")</f>
        <v>103</v>
      </c>
    </row>
    <row r="3" customFormat="false" ht="15" hidden="false" customHeight="false" outlineLevel="0" collapsed="false">
      <c r="A3" s="22" t="n">
        <f aca="false">IF(B3="","",COUNTIFS(Overall!$C$2:$C$1000,"AMF",Overall!$F$2:$F$1000,"&gt;"&amp;C3)+1)</f>
        <v>2</v>
      </c>
      <c r="B3" s="11" t="str">
        <f aca="false">IFERROR(INDEX(Overall!$B$2:$B$1000,MATCH("AMF|2",Overall!$I$2:$I$1000,0)),"")</f>
        <v>Tsubasa</v>
      </c>
      <c r="C3" s="19" t="n">
        <f aca="false">IFERROR(INDEX(Overall!$F$2:$F$1000,MATCH("AMF|2",Overall!$I$2:$I$1000,0)),"")</f>
        <v>97</v>
      </c>
    </row>
    <row r="4" customFormat="false" ht="15" hidden="false" customHeight="false" outlineLevel="0" collapsed="false">
      <c r="A4" s="22" t="n">
        <f aca="false">IF(B4="","",COUNTIFS(Overall!$C$2:$C$1000,"AMF",Overall!$F$2:$F$1000,"&gt;"&amp;C4)+1)</f>
        <v>2</v>
      </c>
      <c r="B4" s="11" t="str">
        <f aca="false">IFERROR(INDEX(Overall!$B$2:$B$1000,MATCH("AMF|3",Overall!$I$2:$I$1000,0)),"")</f>
        <v>Saitama</v>
      </c>
      <c r="C4" s="19" t="n">
        <f aca="false">IFERROR(INDEX(Overall!$F$2:$F$1000,MATCH("AMF|3",Overall!$I$2:$I$1000,0)),"")</f>
        <v>97</v>
      </c>
    </row>
    <row r="5" customFormat="false" ht="15" hidden="false" customHeight="false" outlineLevel="0" collapsed="false">
      <c r="A5" s="22" t="n">
        <f aca="false">IF(B5="","",COUNTIFS(Overall!$C$2:$C$1000,"AMF",Overall!$F$2:$F$1000,"&gt;"&amp;C5)+1)</f>
        <v>4</v>
      </c>
      <c r="B5" s="11" t="str">
        <f aca="false">IFERROR(INDEX(Overall!$B$2:$B$1000,MATCH("AMF|4",Overall!$I$2:$I$1000,0)),"")</f>
        <v>Bakugo</v>
      </c>
      <c r="C5" s="19" t="n">
        <f aca="false">IFERROR(INDEX(Overall!$F$2:$F$1000,MATCH("AMF|4",Overall!$I$2:$I$1000,0)),"")</f>
        <v>93</v>
      </c>
    </row>
    <row r="6" customFormat="false" ht="15" hidden="false" customHeight="false" outlineLevel="0" collapsed="false">
      <c r="A6" s="22" t="n">
        <f aca="false">IF(B6="","",COUNTIFS(Overall!$C$2:$C$1000,"AMF",Overall!$F$2:$F$1000,"&gt;"&amp;C6)+1)</f>
        <v>4</v>
      </c>
      <c r="B6" s="11" t="str">
        <f aca="false">IFERROR(INDEX(Overall!$B$2:$B$1000,MATCH("AMF|5",Overall!$I$2:$I$1000,0)),"")</f>
        <v>Kyrie Irving</v>
      </c>
      <c r="C6" s="19" t="n">
        <f aca="false">IFERROR(INDEX(Overall!$F$2:$F$1000,MATCH("AMF|5",Overall!$I$2:$I$1000,0)),"")</f>
        <v>93</v>
      </c>
    </row>
    <row r="7" customFormat="false" ht="15" hidden="false" customHeight="false" outlineLevel="0" collapsed="false">
      <c r="A7" s="22" t="n">
        <f aca="false">IF(B7="","",COUNTIFS(Overall!$C$2:$C$1000,"AMF",Overall!$F$2:$F$1000,"&gt;"&amp;C7)+1)</f>
        <v>6</v>
      </c>
      <c r="B7" s="11" t="str">
        <f aca="false">IFERROR(INDEX(Overall!$B$2:$B$1000,MATCH("AMF|6",Overall!$I$2:$I$1000,0)),"")</f>
        <v>Todoroki</v>
      </c>
      <c r="C7" s="19" t="n">
        <f aca="false">IFERROR(INDEX(Overall!$F$2:$F$1000,MATCH("AMF|6",Overall!$I$2:$I$1000,0)),"")</f>
        <v>92</v>
      </c>
    </row>
    <row r="8" customFormat="false" ht="15" hidden="false" customHeight="false" outlineLevel="0" collapsed="false">
      <c r="A8" s="22" t="n">
        <f aca="false">IF(B8="","",COUNTIFS(Overall!$C$2:$C$1000,"AMF",Overall!$F$2:$F$1000,"&gt;"&amp;C8)+1)</f>
        <v>7</v>
      </c>
      <c r="B8" s="11" t="str">
        <f aca="false">IFERROR(INDEX(Overall!$B$2:$B$1000,MATCH("AMF|7",Overall!$I$2:$I$1000,0)),"")</f>
        <v>Androide 17</v>
      </c>
      <c r="C8" s="19" t="n">
        <f aca="false">IFERROR(INDEX(Overall!$F$2:$F$1000,MATCH("AMF|7",Overall!$I$2:$I$1000,0)),"")</f>
        <v>90</v>
      </c>
    </row>
    <row r="9" customFormat="false" ht="15" hidden="false" customHeight="false" outlineLevel="0" collapsed="false">
      <c r="A9" s="22" t="n">
        <f aca="false">IF(B9="","",COUNTIFS(Overall!$C$2:$C$1000,"AMF",Overall!$F$2:$F$1000,"&gt;"&amp;C9)+1)</f>
        <v>8</v>
      </c>
      <c r="B9" s="11" t="str">
        <f aca="false">IFERROR(INDEX(Overall!$B$2:$B$1000,MATCH("AMF|8",Overall!$I$2:$I$1000,0)),"")</f>
        <v>Yami yugi</v>
      </c>
      <c r="C9" s="19" t="n">
        <f aca="false">IFERROR(INDEX(Overall!$F$2:$F$1000,MATCH("AMF|8",Overall!$I$2:$I$1000,0)),"")</f>
        <v>88</v>
      </c>
    </row>
    <row r="10" customFormat="false" ht="15" hidden="false" customHeight="false" outlineLevel="0" collapsed="false">
      <c r="A10" s="22" t="n">
        <f aca="false">IF(B10="","",COUNTIFS(Overall!$C$2:$C$1000,"AMF",Overall!$F$2:$F$1000,"&gt;"&amp;C10)+1)</f>
        <v>8</v>
      </c>
      <c r="B10" s="11" t="str">
        <f aca="false">IFERROR(INDEX(Overall!$B$2:$B$1000,MATCH("AMF|9",Overall!$I$2:$I$1000,0)),"")</f>
        <v>Elmo</v>
      </c>
      <c r="C10" s="19" t="n">
        <f aca="false">IFERROR(INDEX(Overall!$F$2:$F$1000,MATCH("AMF|9",Overall!$I$2:$I$1000,0)),"")</f>
        <v>88</v>
      </c>
    </row>
    <row r="11" customFormat="false" ht="15" hidden="false" customHeight="false" outlineLevel="0" collapsed="false">
      <c r="A11" s="22" t="n">
        <f aca="false">IF(B11="","",COUNTIFS(Overall!$C$2:$C$1000,"AMF",Overall!$F$2:$F$1000,"&gt;"&amp;C11)+1)</f>
        <v>10</v>
      </c>
      <c r="B11" s="11" t="str">
        <f aca="false">IFERROR(INDEX(Overall!$B$2:$B$1000,MATCH("AMF|10",Overall!$I$2:$I$1000,0)),"")</f>
        <v>Kurapika</v>
      </c>
      <c r="C11" s="19" t="n">
        <f aca="false">IFERROR(INDEX(Overall!$F$2:$F$1000,MATCH("AMF|10",Overall!$I$2:$I$1000,0)),"")</f>
        <v>87</v>
      </c>
    </row>
    <row r="12" customFormat="false" ht="15" hidden="false" customHeight="false" outlineLevel="0" collapsed="false">
      <c r="A12" s="22" t="n">
        <f aca="false">IF(B12="","",COUNTIFS(Overall!$C$2:$C$1000,"AMF",Overall!$F$2:$F$1000,"&gt;"&amp;C12)+1)</f>
        <v>10</v>
      </c>
      <c r="B12" s="11" t="str">
        <f aca="false">IFERROR(INDEX(Overall!$B$2:$B$1000,MATCH("AMF|11",Overall!$I$2:$I$1000,0)),"")</f>
        <v>Mario Sturniolo</v>
      </c>
      <c r="C12" s="19" t="n">
        <f aca="false">IFERROR(INDEX(Overall!$F$2:$F$1000,MATCH("AMF|11",Overall!$I$2:$I$1000,0)),"")</f>
        <v>87</v>
      </c>
    </row>
    <row r="13" customFormat="false" ht="15" hidden="false" customHeight="false" outlineLevel="0" collapsed="false">
      <c r="A13" s="22" t="n">
        <f aca="false">IF(B13="","",COUNTIFS(Overall!$C$2:$C$1000,"AMF",Overall!$F$2:$F$1000,"&gt;"&amp;C13)+1)</f>
        <v>10</v>
      </c>
      <c r="B13" s="11" t="str">
        <f aca="false">IFERROR(INDEX(Overall!$B$2:$B$1000,MATCH("AMF|12",Overall!$I$2:$I$1000,0)),"")</f>
        <v>Guile</v>
      </c>
      <c r="C13" s="19" t="n">
        <f aca="false">IFERROR(INDEX(Overall!$F$2:$F$1000,MATCH("AMF|12",Overall!$I$2:$I$1000,0)),"")</f>
        <v>87</v>
      </c>
    </row>
    <row r="14" customFormat="false" ht="15" hidden="false" customHeight="false" outlineLevel="0" collapsed="false">
      <c r="A14" s="22" t="n">
        <f aca="false">IF(B14="","",COUNTIFS(Overall!$C$2:$C$1000,"AMF",Overall!$F$2:$F$1000,"&gt;"&amp;C14)+1)</f>
        <v>13</v>
      </c>
      <c r="B14" s="11" t="str">
        <f aca="false">IFERROR(INDEX(Overall!$B$2:$B$1000,MATCH("AMF|13",Overall!$I$2:$I$1000,0)),"")</f>
        <v>Daffy Duck</v>
      </c>
      <c r="C14" s="19" t="n">
        <f aca="false">IFERROR(INDEX(Overall!$F$2:$F$1000,MATCH("AMF|13",Overall!$I$2:$I$1000,0)),"")</f>
        <v>86</v>
      </c>
    </row>
    <row r="15" customFormat="false" ht="15" hidden="false" customHeight="false" outlineLevel="0" collapsed="false">
      <c r="A15" s="22" t="n">
        <f aca="false">IF(B15="","",COUNTIFS(Overall!$C$2:$C$1000,"AMF",Overall!$F$2:$F$1000,"&gt;"&amp;C15)+1)</f>
        <v>14</v>
      </c>
      <c r="B15" s="11" t="str">
        <f aca="false">IFERROR(INDEX(Overall!$B$2:$B$1000,MATCH("AMF|14",Overall!$I$2:$I$1000,0)),"")</f>
        <v>Hamilton</v>
      </c>
      <c r="C15" s="19" t="n">
        <f aca="false">IFERROR(INDEX(Overall!$F$2:$F$1000,MATCH("AMF|14",Overall!$I$2:$I$1000,0)),"")</f>
        <v>85</v>
      </c>
    </row>
    <row r="16" customFormat="false" ht="15" hidden="false" customHeight="false" outlineLevel="0" collapsed="false">
      <c r="A16" s="22" t="n">
        <f aca="false">IF(B16="","",COUNTIFS(Overall!$C$2:$C$1000,"AMF",Overall!$F$2:$F$1000,"&gt;"&amp;C16)+1)</f>
        <v>14</v>
      </c>
      <c r="B16" s="11" t="str">
        <f aca="false">IFERROR(INDEX(Overall!$B$2:$B$1000,MATCH("AMF|15",Overall!$I$2:$I$1000,0)),"")</f>
        <v>Megamind</v>
      </c>
      <c r="C16" s="19" t="n">
        <f aca="false">IFERROR(INDEX(Overall!$F$2:$F$1000,MATCH("AMF|15",Overall!$I$2:$I$1000,0)),"")</f>
        <v>85</v>
      </c>
    </row>
    <row r="17" customFormat="false" ht="15" hidden="false" customHeight="false" outlineLevel="0" collapsed="false">
      <c r="A17" s="22" t="n">
        <f aca="false">IF(B17="","",COUNTIFS(Overall!$C$2:$C$1000,"AMF",Overall!$F$2:$F$1000,"&gt;"&amp;C17)+1)</f>
        <v>16</v>
      </c>
      <c r="B17" s="11" t="str">
        <f aca="false">IFERROR(INDEX(Overall!$B$2:$B$1000,MATCH("AMF|16",Overall!$I$2:$I$1000,0)),"")</f>
        <v>Atom eve</v>
      </c>
      <c r="C17" s="19" t="n">
        <f aca="false">IFERROR(INDEX(Overall!$F$2:$F$1000,MATCH("AMF|16",Overall!$I$2:$I$1000,0)),"")</f>
        <v>84</v>
      </c>
    </row>
    <row r="18" customFormat="false" ht="15" hidden="false" customHeight="false" outlineLevel="0" collapsed="false">
      <c r="A18" s="22" t="n">
        <f aca="false">IF(B18="","",COUNTIFS(Overall!$C$2:$C$1000,"AMF",Overall!$F$2:$F$1000,"&gt;"&amp;C18)+1)</f>
        <v>16</v>
      </c>
      <c r="B18" s="11" t="str">
        <f aca="false">IFERROR(INDEX(Overall!$B$2:$B$1000,MATCH("AMF|17",Overall!$I$2:$I$1000,0)),"")</f>
        <v>Michael Jackson</v>
      </c>
      <c r="C18" s="19" t="n">
        <f aca="false">IFERROR(INDEX(Overall!$F$2:$F$1000,MATCH("AMF|17",Overall!$I$2:$I$1000,0)),"")</f>
        <v>84</v>
      </c>
    </row>
    <row r="19" customFormat="false" ht="15" hidden="false" customHeight="false" outlineLevel="0" collapsed="false">
      <c r="A19" s="22" t="n">
        <f aca="false">IF(B19="","",COUNTIFS(Overall!$C$2:$C$1000,"AMF",Overall!$F$2:$F$1000,"&gt;"&amp;C19)+1)</f>
        <v>16</v>
      </c>
      <c r="B19" s="11" t="str">
        <f aca="false">IFERROR(INDEX(Overall!$B$2:$B$1000,MATCH("AMF|18",Overall!$I$2:$I$1000,0)),"")</f>
        <v>Pikachu</v>
      </c>
      <c r="C19" s="19" t="n">
        <f aca="false">IFERROR(INDEX(Overall!$F$2:$F$1000,MATCH("AMF|18",Overall!$I$2:$I$1000,0)),"")</f>
        <v>84</v>
      </c>
    </row>
    <row r="20" customFormat="false" ht="15" hidden="false" customHeight="false" outlineLevel="0" collapsed="false">
      <c r="A20" s="22" t="n">
        <f aca="false">IF(B20="","",COUNTIFS(Overall!$C$2:$C$1000,"AMF",Overall!$F$2:$F$1000,"&gt;"&amp;C20)+1)</f>
        <v>19</v>
      </c>
      <c r="B20" s="11" t="str">
        <f aca="false">IFERROR(INDEX(Overall!$B$2:$B$1000,MATCH("AMF|19",Overall!$I$2:$I$1000,0)),"")</f>
        <v>Jude sharp</v>
      </c>
      <c r="C20" s="19" t="n">
        <f aca="false">IFERROR(INDEX(Overall!$F$2:$F$1000,MATCH("AMF|19",Overall!$I$2:$I$1000,0)),"")</f>
        <v>83</v>
      </c>
    </row>
    <row r="21" customFormat="false" ht="15" hidden="false" customHeight="false" outlineLevel="0" collapsed="false">
      <c r="A21" s="22" t="n">
        <f aca="false">IF(B21="","",COUNTIFS(Overall!$C$2:$C$1000,"AMF",Overall!$F$2:$F$1000,"&gt;"&amp;C21)+1)</f>
        <v>20</v>
      </c>
      <c r="B21" s="11" t="str">
        <f aca="false">IFERROR(INDEX(Overall!$B$2:$B$1000,MATCH("AMF|20",Overall!$I$2:$I$1000,0)),"")</f>
        <v>Curioso come george</v>
      </c>
      <c r="C21" s="19" t="n">
        <f aca="false">IFERROR(INDEX(Overall!$F$2:$F$1000,MATCH("AMF|20",Overall!$I$2:$I$1000,0)),"")</f>
        <v>82</v>
      </c>
    </row>
    <row r="22" customFormat="false" ht="15" hidden="false" customHeight="false" outlineLevel="0" collapsed="false">
      <c r="A22" s="22" t="n">
        <f aca="false">IF(B22="","",COUNTIFS(Overall!$C$2:$C$1000,"AMF",Overall!$F$2:$F$1000,"&gt;"&amp;C22)+1)</f>
        <v>20</v>
      </c>
      <c r="B22" s="11" t="str">
        <f aca="false">IFERROR(INDEX(Overall!$B$2:$B$1000,MATCH("AMF|21",Overall!$I$2:$I$1000,0)),"")</f>
        <v>Blossom</v>
      </c>
      <c r="C22" s="19" t="n">
        <f aca="false">IFERROR(INDEX(Overall!$F$2:$F$1000,MATCH("AMF|21",Overall!$I$2:$I$1000,0)),"")</f>
        <v>82</v>
      </c>
    </row>
    <row r="23" customFormat="false" ht="15" hidden="false" customHeight="false" outlineLevel="0" collapsed="false">
      <c r="A23" s="22" t="n">
        <f aca="false">IF(B23="","",COUNTIFS(Overall!$C$2:$C$1000,"AMF",Overall!$F$2:$F$1000,"&gt;"&amp;C23)+1)</f>
        <v>20</v>
      </c>
      <c r="B23" s="11" t="str">
        <f aca="false">IFERROR(INDEX(Overall!$B$2:$B$1000,MATCH("AMF|22",Overall!$I$2:$I$1000,0)),"")</f>
        <v>Fall guy</v>
      </c>
      <c r="C23" s="19" t="n">
        <f aca="false">IFERROR(INDEX(Overall!$F$2:$F$1000,MATCH("AMF|22",Overall!$I$2:$I$1000,0)),"")</f>
        <v>82</v>
      </c>
    </row>
    <row r="24" customFormat="false" ht="15" hidden="false" customHeight="false" outlineLevel="0" collapsed="false">
      <c r="A24" s="22" t="n">
        <f aca="false">IF(B24="","",COUNTIFS(Overall!$C$2:$C$1000,"AMF",Overall!$F$2:$F$1000,"&gt;"&amp;C24)+1)</f>
        <v>20</v>
      </c>
      <c r="B24" s="11" t="str">
        <f aca="false">IFERROR(INDEX(Overall!$B$2:$B$1000,MATCH("AMF|23",Overall!$I$2:$I$1000,0)),"")</f>
        <v>Colt</v>
      </c>
      <c r="C24" s="19" t="n">
        <f aca="false">IFERROR(INDEX(Overall!$F$2:$F$1000,MATCH("AMF|23",Overall!$I$2:$I$1000,0)),"")</f>
        <v>82</v>
      </c>
    </row>
    <row r="25" customFormat="false" ht="15" hidden="false" customHeight="false" outlineLevel="0" collapsed="false">
      <c r="A25" s="22" t="n">
        <f aca="false">IF(B25="","",COUNTIFS(Overall!$C$2:$C$1000,"AMF",Overall!$F$2:$F$1000,"&gt;"&amp;C25)+1)</f>
        <v>24</v>
      </c>
      <c r="B25" s="11" t="str">
        <f aca="false">IFERROR(INDEX(Overall!$B$2:$B$1000,MATCH("AMF|24",Overall!$I$2:$I$1000,0)),"")</f>
        <v>Falco</v>
      </c>
      <c r="C25" s="19" t="n">
        <f aca="false">IFERROR(INDEX(Overall!$F$2:$F$1000,MATCH("AMF|24",Overall!$I$2:$I$1000,0)),"")</f>
        <v>81</v>
      </c>
    </row>
    <row r="26" customFormat="false" ht="15" hidden="false" customHeight="false" outlineLevel="0" collapsed="false">
      <c r="A26" s="22" t="n">
        <f aca="false">IF(B26="","",COUNTIFS(Overall!$C$2:$C$1000,"AMF",Overall!$F$2:$F$1000,"&gt;"&amp;C26)+1)</f>
        <v>25</v>
      </c>
      <c r="B26" s="11" t="str">
        <f aca="false">IFERROR(INDEX(Overall!$B$2:$B$1000,MATCH("AMF|25",Overall!$I$2:$I$1000,0)),"")</f>
        <v>Future Trunks</v>
      </c>
      <c r="C26" s="19" t="n">
        <f aca="false">IFERROR(INDEX(Overall!$F$2:$F$1000,MATCH("AMF|25",Overall!$I$2:$I$1000,0)),"")</f>
        <v>80</v>
      </c>
    </row>
    <row r="27" customFormat="false" ht="15" hidden="false" customHeight="false" outlineLevel="0" collapsed="false">
      <c r="A27" s="22" t="n">
        <f aca="false">IF(B27="","",COUNTIFS(Overall!$C$2:$C$1000,"AMF",Overall!$F$2:$F$1000,"&gt;"&amp;C27)+1)</f>
        <v>26</v>
      </c>
      <c r="B27" s="11" t="str">
        <f aca="false">IFERROR(INDEX(Overall!$B$2:$B$1000,MATCH("AMF|26",Overall!$I$2:$I$1000,0)),"")</f>
        <v>2pac</v>
      </c>
      <c r="C27" s="19" t="n">
        <f aca="false">IFERROR(INDEX(Overall!$F$2:$F$1000,MATCH("AMF|26",Overall!$I$2:$I$1000,0)),"")</f>
        <v>79</v>
      </c>
    </row>
    <row r="28" customFormat="false" ht="15" hidden="false" customHeight="false" outlineLevel="0" collapsed="false">
      <c r="A28" s="22" t="n">
        <f aca="false">IF(B28="","",COUNTIFS(Overall!$C$2:$C$1000,"AMF",Overall!$F$2:$F$1000,"&gt;"&amp;C28)+1)</f>
        <v>27</v>
      </c>
      <c r="B28" s="11" t="str">
        <f aca="false">IFERROR(INDEX(Overall!$B$2:$B$1000,MATCH("AMF|27",Overall!$I$2:$I$1000,0)),"")</f>
        <v>Birdo</v>
      </c>
      <c r="C28" s="19" t="n">
        <f aca="false">IFERROR(INDEX(Overall!$F$2:$F$1000,MATCH("AMF|27",Overall!$I$2:$I$1000,0)),"")</f>
        <v>78</v>
      </c>
    </row>
    <row r="29" customFormat="false" ht="15" hidden="false" customHeight="false" outlineLevel="0" collapsed="false">
      <c r="A29" s="22" t="n">
        <f aca="false">IF(B29="","",COUNTIFS(Overall!$C$2:$C$1000,"AMF",Overall!$F$2:$F$1000,"&gt;"&amp;C29)+1)</f>
        <v>28</v>
      </c>
      <c r="B29" s="11" t="str">
        <f aca="false">IFERROR(INDEX(Overall!$B$2:$B$1000,MATCH("AMF|28",Overall!$I$2:$I$1000,0)),"")</f>
        <v>Meta knight</v>
      </c>
      <c r="C29" s="19" t="n">
        <f aca="false">IFERROR(INDEX(Overall!$F$2:$F$1000,MATCH("AMF|28",Overall!$I$2:$I$1000,0)),"")</f>
        <v>77</v>
      </c>
    </row>
    <row r="30" customFormat="false" ht="15" hidden="false" customHeight="false" outlineLevel="0" collapsed="false">
      <c r="A30" s="22" t="str">
        <f aca="false">IF(B30="","",COUNTIFS(Overall!$C$2:$C$1000,"AMF",Overall!$F$2:$F$1000,"&gt;"&amp;C30)+1)</f>
        <v/>
      </c>
      <c r="B30" s="11" t="str">
        <f aca="false">IFERROR(INDEX(Overall!$B$2:$B$1000,MATCH("AMF|29",Overall!$I$2:$I$1000,0)),"")</f>
        <v/>
      </c>
      <c r="C30" s="19" t="str">
        <f aca="false">IFERROR(INDEX(Overall!$F$2:$F$1000,MATCH("AMF|29",Overall!$I$2:$I$1000,0)),"")</f>
        <v/>
      </c>
    </row>
    <row r="31" customFormat="false" ht="15" hidden="false" customHeight="false" outlineLevel="0" collapsed="false">
      <c r="A31" s="22" t="str">
        <f aca="false">IF(B31="","",COUNTIFS(Overall!$C$2:$C$1000,"AMF",Overall!$F$2:$F$1000,"&gt;"&amp;C31)+1)</f>
        <v/>
      </c>
      <c r="B31" s="11" t="str">
        <f aca="false">IFERROR(INDEX(Overall!$B$2:$B$1000,MATCH("AMF|30",Overall!$I$2:$I$1000,0)),"")</f>
        <v/>
      </c>
      <c r="C31" s="19" t="str">
        <f aca="false">IFERROR(INDEX(Overall!$F$2:$F$1000,MATCH("AMF|30",Overall!$I$2:$I$1000,0)),"")</f>
        <v/>
      </c>
    </row>
    <row r="32" customFormat="false" ht="15" hidden="false" customHeight="false" outlineLevel="0" collapsed="false">
      <c r="A32" s="22" t="str">
        <f aca="false">IF(B32="","",COUNTIFS(Overall!$C$2:$C$1000,"AMF",Overall!$F$2:$F$1000,"&gt;"&amp;C32)+1)</f>
        <v/>
      </c>
      <c r="B32" s="11" t="str">
        <f aca="false">IFERROR(INDEX(Overall!$B$2:$B$1000,MATCH("AMF|31",Overall!$I$2:$I$1000,0)),"")</f>
        <v/>
      </c>
      <c r="C32" s="19" t="str">
        <f aca="false">IFERROR(INDEX(Overall!$F$2:$F$1000,MATCH("AMF|31",Overall!$I$2:$I$1000,0)),"")</f>
        <v/>
      </c>
    </row>
    <row r="33" customFormat="false" ht="15" hidden="false" customHeight="false" outlineLevel="0" collapsed="false">
      <c r="A33" s="22" t="str">
        <f aca="false">IF(B33="","",COUNTIFS(Overall!$C$2:$C$1000,"AMF",Overall!$F$2:$F$1000,"&gt;"&amp;C33)+1)</f>
        <v/>
      </c>
      <c r="B33" s="11" t="str">
        <f aca="false">IFERROR(INDEX(Overall!$B$2:$B$1000,MATCH("AMF|32",Overall!$I$2:$I$1000,0)),"")</f>
        <v/>
      </c>
      <c r="C33" s="19" t="str">
        <f aca="false">IFERROR(INDEX(Overall!$F$2:$F$1000,MATCH("AMF|32",Overall!$I$2:$I$1000,0)),"")</f>
        <v/>
      </c>
    </row>
    <row r="34" customFormat="false" ht="15" hidden="false" customHeight="false" outlineLevel="0" collapsed="false">
      <c r="A34" s="22" t="str">
        <f aca="false">IF(B34="","",COUNTIFS(Overall!$C$2:$C$1000,"AMF",Overall!$F$2:$F$1000,"&gt;"&amp;C34)+1)</f>
        <v/>
      </c>
      <c r="B34" s="11" t="str">
        <f aca="false">IFERROR(INDEX(Overall!$B$2:$B$1000,MATCH("AMF|33",Overall!$I$2:$I$1000,0)),"")</f>
        <v/>
      </c>
      <c r="C34" s="19" t="str">
        <f aca="false">IFERROR(INDEX(Overall!$F$2:$F$1000,MATCH("AMF|33",Overall!$I$2:$I$1000,0)),"")</f>
        <v/>
      </c>
    </row>
    <row r="35" customFormat="false" ht="15" hidden="false" customHeight="false" outlineLevel="0" collapsed="false">
      <c r="A35" s="22" t="str">
        <f aca="false">IF(B35="","",COUNTIFS(Overall!$C$2:$C$1000,"AMF",Overall!$F$2:$F$1000,"&gt;"&amp;C35)+1)</f>
        <v/>
      </c>
      <c r="B35" s="11" t="str">
        <f aca="false">IFERROR(INDEX(Overall!$B$2:$B$1000,MATCH("AMF|34",Overall!$I$2:$I$1000,0)),"")</f>
        <v/>
      </c>
      <c r="C35" s="19" t="str">
        <f aca="false">IFERROR(INDEX(Overall!$F$2:$F$1000,MATCH("AMF|34",Overall!$I$2:$I$1000,0)),"")</f>
        <v/>
      </c>
    </row>
    <row r="36" customFormat="false" ht="15" hidden="false" customHeight="false" outlineLevel="0" collapsed="false">
      <c r="A36" s="22" t="str">
        <f aca="false">IF(B36="","",COUNTIFS(Overall!$C$2:$C$1000,"AMF",Overall!$F$2:$F$1000,"&gt;"&amp;C36)+1)</f>
        <v/>
      </c>
      <c r="B36" s="11" t="str">
        <f aca="false">IFERROR(INDEX(Overall!$B$2:$B$1000,MATCH("AMF|35",Overall!$I$2:$I$1000,0)),"")</f>
        <v/>
      </c>
      <c r="C36" s="19" t="str">
        <f aca="false">IFERROR(INDEX(Overall!$F$2:$F$1000,MATCH("AMF|35",Overall!$I$2:$I$1000,0)),"")</f>
        <v/>
      </c>
    </row>
    <row r="37" customFormat="false" ht="15" hidden="false" customHeight="false" outlineLevel="0" collapsed="false">
      <c r="A37" s="22" t="str">
        <f aca="false">IF(B37="","",COUNTIFS(Overall!$C$2:$C$1000,"AMF",Overall!$F$2:$F$1000,"&gt;"&amp;C37)+1)</f>
        <v/>
      </c>
      <c r="B37" s="11" t="str">
        <f aca="false">IFERROR(INDEX(Overall!$B$2:$B$1000,MATCH("AMF|36",Overall!$I$2:$I$1000,0)),"")</f>
        <v/>
      </c>
      <c r="C37" s="19" t="str">
        <f aca="false">IFERROR(INDEX(Overall!$F$2:$F$1000,MATCH("AMF|36",Overall!$I$2:$I$1000,0)),"")</f>
        <v/>
      </c>
    </row>
    <row r="38" customFormat="false" ht="15" hidden="false" customHeight="false" outlineLevel="0" collapsed="false">
      <c r="A38" s="22" t="str">
        <f aca="false">IF(B38="","",COUNTIFS(Overall!$C$2:$C$1000,"AMF",Overall!$F$2:$F$1000,"&gt;"&amp;C38)+1)</f>
        <v/>
      </c>
      <c r="B38" s="11" t="str">
        <f aca="false">IFERROR(INDEX(Overall!$B$2:$B$1000,MATCH("AMF|37",Overall!$I$2:$I$1000,0)),"")</f>
        <v/>
      </c>
      <c r="C38" s="19" t="str">
        <f aca="false">IFERROR(INDEX(Overall!$F$2:$F$1000,MATCH("AMF|37",Overall!$I$2:$I$1000,0)),"")</f>
        <v/>
      </c>
    </row>
    <row r="39" customFormat="false" ht="15" hidden="false" customHeight="false" outlineLevel="0" collapsed="false">
      <c r="A39" s="22" t="str">
        <f aca="false">IF(B39="","",COUNTIFS(Overall!$C$2:$C$1000,"AMF",Overall!$F$2:$F$1000,"&gt;"&amp;C39)+1)</f>
        <v/>
      </c>
      <c r="B39" s="11" t="str">
        <f aca="false">IFERROR(INDEX(Overall!$B$2:$B$1000,MATCH("AMF|38",Overall!$I$2:$I$1000,0)),"")</f>
        <v/>
      </c>
      <c r="C39" s="19" t="str">
        <f aca="false">IFERROR(INDEX(Overall!$F$2:$F$1000,MATCH("AMF|38",Overall!$I$2:$I$1000,0)),"")</f>
        <v/>
      </c>
    </row>
    <row r="40" customFormat="false" ht="15" hidden="false" customHeight="false" outlineLevel="0" collapsed="false">
      <c r="A40" s="22" t="str">
        <f aca="false">IF(B40="","",COUNTIFS(Overall!$C$2:$C$1000,"AMF",Overall!$F$2:$F$1000,"&gt;"&amp;C40)+1)</f>
        <v/>
      </c>
      <c r="B40" s="11" t="str">
        <f aca="false">IFERROR(INDEX(Overall!$B$2:$B$1000,MATCH("AMF|39",Overall!$I$2:$I$1000,0)),"")</f>
        <v/>
      </c>
      <c r="C40" s="19" t="str">
        <f aca="false">IFERROR(INDEX(Overall!$F$2:$F$1000,MATCH("AMF|39",Overall!$I$2:$I$1000,0)),"")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IF(B41="","",COUNTIFS(Overall!$C$2:$C$1000,"AMF",Overall!$F$2:$F$1000,"&gt;"&amp;C41)+1)</f>
        <v/>
      </c>
      <c r="B41" s="11" t="str">
        <f aca="false">IFERROR(INDEX(Overall!$B$2:$B$1000,MATCH("AMF|40",Overall!$I$2:$I$1000,0)),"")</f>
        <v/>
      </c>
      <c r="C41" s="19" t="str">
        <f aca="false">IFERROR(INDEX(Overall!$F$2:$F$1000,MATCH("AMF|40",Overall!$I$2:$I$1000,0)),"")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IF(B42="","",COUNTIFS(Overall!$C$2:$C$1000,"AMF",Overall!$F$2:$F$1000,"&gt;"&amp;C42)+1)</f>
        <v/>
      </c>
      <c r="B42" s="11" t="str">
        <f aca="false">IFERROR(INDEX(Overall!$B$2:$B$1000,MATCH("AMF|41",Overall!$I$2:$I$1000,0)),"")</f>
        <v/>
      </c>
      <c r="C42" s="19" t="str">
        <f aca="false">IFERROR(INDEX(Overall!$F$2:$F$1000,MATCH("AMF|41",Overall!$I$2:$I$1000,0)),"")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IF(B43="","",COUNTIFS(Overall!$C$2:$C$1000,"AMF",Overall!$F$2:$F$1000,"&gt;"&amp;C43)+1)</f>
        <v/>
      </c>
      <c r="B43" s="11" t="str">
        <f aca="false">IFERROR(INDEX(Overall!$B$2:$B$1000,MATCH("AMF|42",Overall!$I$2:$I$1000,0)),"")</f>
        <v/>
      </c>
      <c r="C43" s="19" t="str">
        <f aca="false">IFERROR(INDEX(Overall!$F$2:$F$1000,MATCH("AMF|42",Overall!$I$2:$I$1000,0)),"")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IF(B44="","",COUNTIFS(Overall!$C$2:$C$1000,"AMF",Overall!$F$2:$F$1000,"&gt;"&amp;C44)+1)</f>
        <v/>
      </c>
      <c r="B44" s="11" t="str">
        <f aca="false">IFERROR(INDEX(Overall!$B$2:$B$1000,MATCH("AMF|43",Overall!$I$2:$I$1000,0)),"")</f>
        <v/>
      </c>
      <c r="C44" s="19" t="str">
        <f aca="false">IFERROR(INDEX(Overall!$F$2:$F$1000,MATCH("AMF|43",Overall!$I$2:$I$1000,0)),"")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IF(B45="","",COUNTIFS(Overall!$C$2:$C$1000,"AMF",Overall!$F$2:$F$1000,"&gt;"&amp;C45)+1)</f>
        <v/>
      </c>
      <c r="B45" s="11" t="str">
        <f aca="false">IFERROR(INDEX(Overall!$B$2:$B$1000,MATCH("AMF|44",Overall!$I$2:$I$1000,0)),"")</f>
        <v/>
      </c>
      <c r="C45" s="19" t="str">
        <f aca="false">IFERROR(INDEX(Overall!$F$2:$F$1000,MATCH("AMF|44",Overall!$I$2:$I$1000,0)),"")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IF(B46="","",COUNTIFS(Overall!$C$2:$C$1000,"AMF",Overall!$F$2:$F$1000,"&gt;"&amp;C46)+1)</f>
        <v/>
      </c>
      <c r="B46" s="11" t="str">
        <f aca="false">IFERROR(INDEX(Overall!$B$2:$B$1000,MATCH("AMF|45",Overall!$I$2:$I$1000,0)),"")</f>
        <v/>
      </c>
      <c r="C46" s="19" t="str">
        <f aca="false">IFERROR(INDEX(Overall!$F$2:$F$1000,MATCH("AMF|45",Overall!$I$2:$I$1000,0)),"")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IF(B47="","",COUNTIFS(Overall!$C$2:$C$1000,"AMF",Overall!$F$2:$F$1000,"&gt;"&amp;C47)+1)</f>
        <v/>
      </c>
      <c r="B47" s="11" t="str">
        <f aca="false">IFERROR(INDEX(Overall!$B$2:$B$1000,MATCH("AMF|46",Overall!$I$2:$I$1000,0)),"")</f>
        <v/>
      </c>
      <c r="C47" s="19" t="str">
        <f aca="false">IFERROR(INDEX(Overall!$F$2:$F$1000,MATCH("AMF|46",Overall!$I$2:$I$1000,0)),"")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IF(B48="","",COUNTIFS(Overall!$C$2:$C$1000,"AMF",Overall!$F$2:$F$1000,"&gt;"&amp;C48)+1)</f>
        <v/>
      </c>
      <c r="B48" s="11" t="str">
        <f aca="false">IFERROR(INDEX(Overall!$B$2:$B$1000,MATCH("AMF|47",Overall!$I$2:$I$1000,0)),"")</f>
        <v/>
      </c>
      <c r="C48" s="19" t="str">
        <f aca="false">IFERROR(INDEX(Overall!$F$2:$F$1000,MATCH("AMF|47",Overall!$I$2:$I$1000,0)),"")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IF(B49="","",COUNTIFS(Overall!$C$2:$C$1000,"AMF",Overall!$F$2:$F$1000,"&gt;"&amp;C49)+1)</f>
        <v/>
      </c>
      <c r="B49" s="11" t="str">
        <f aca="false">IFERROR(INDEX(Overall!$B$2:$B$1000,MATCH("AMF|48",Overall!$I$2:$I$1000,0)),"")</f>
        <v/>
      </c>
      <c r="C49" s="19" t="str">
        <f aca="false">IFERROR(INDEX(Overall!$F$2:$F$1000,MATCH("AMF|48",Overall!$I$2:$I$1000,0)),"")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IF(B50="","",COUNTIFS(Overall!$C$2:$C$1000,"AMF",Overall!$F$2:$F$1000,"&gt;"&amp;C50)+1)</f>
        <v/>
      </c>
      <c r="B50" s="11" t="str">
        <f aca="false">IFERROR(INDEX(Overall!$B$2:$B$1000,MATCH("AMF|49",Overall!$I$2:$I$1000,0)),"")</f>
        <v/>
      </c>
      <c r="C50" s="19" t="str">
        <f aca="false">IFERROR(INDEX(Overall!$F$2:$F$1000,MATCH("AMF|49",Overall!$I$2:$I$1000,0)),"")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IF(B51="","",COUNTIFS(Overall!$C$2:$C$1000,"AMF",Overall!$F$2:$F$1000,"&gt;"&amp;C51)+1)</f>
        <v/>
      </c>
      <c r="B51" s="11" t="str">
        <f aca="false">IFERROR(INDEX(Overall!$B$2:$B$1000,MATCH("AMF|50",Overall!$I$2:$I$1000,0)),"")</f>
        <v/>
      </c>
      <c r="C51" s="19" t="str">
        <f aca="false">IFERROR(INDEX(Overall!$F$2:$F$1000,MATCH("AMF|50",Overall!$I$2:$I$1000,0)),"")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IF(B52="","",COUNTIFS(Overall!$C$2:$C$1000,"AMF",Overall!$F$2:$F$1000,"&gt;"&amp;C52)+1)</f>
        <v/>
      </c>
      <c r="B52" s="11" t="str">
        <f aca="false">IFERROR(INDEX(Overall!$B$2:$B$1000,MATCH("AMF|51",Overall!$I$2:$I$1000,0)),"")</f>
        <v/>
      </c>
      <c r="C52" s="19" t="str">
        <f aca="false">IFERROR(INDEX(Overall!$F$2:$F$1000,MATCH("AMF|51",Overall!$I$2:$I$1000,0)),"")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IF(B53="","",COUNTIFS(Overall!$C$2:$C$1000,"AMF",Overall!$F$2:$F$1000,"&gt;"&amp;C53)+1)</f>
        <v/>
      </c>
      <c r="B53" s="11" t="str">
        <f aca="false">IFERROR(INDEX(Overall!$B$2:$B$1000,MATCH("AMF|52",Overall!$I$2:$I$1000,0)),"")</f>
        <v/>
      </c>
      <c r="C53" s="19" t="str">
        <f aca="false">IFERROR(INDEX(Overall!$F$2:$F$1000,MATCH("AMF|52",Overall!$I$2:$I$1000,0)),"")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IF(B54="","",COUNTIFS(Overall!$C$2:$C$1000,"AMF",Overall!$F$2:$F$1000,"&gt;"&amp;C54)+1)</f>
        <v/>
      </c>
      <c r="B54" s="11" t="str">
        <f aca="false">IFERROR(INDEX(Overall!$B$2:$B$1000,MATCH("AMF|53",Overall!$I$2:$I$1000,0)),"")</f>
        <v/>
      </c>
      <c r="C54" s="19" t="str">
        <f aca="false">IFERROR(INDEX(Overall!$F$2:$F$1000,MATCH("AMF|53",Overall!$I$2:$I$1000,0)),"")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IF(B55="","",COUNTIFS(Overall!$C$2:$C$1000,"AMF",Overall!$F$2:$F$1000,"&gt;"&amp;C55)+1)</f>
        <v/>
      </c>
      <c r="B55" s="11" t="str">
        <f aca="false">IFERROR(INDEX(Overall!$B$2:$B$1000,MATCH("AMF|54",Overall!$I$2:$I$1000,0)),"")</f>
        <v/>
      </c>
      <c r="C55" s="19" t="str">
        <f aca="false">IFERROR(INDEX(Overall!$F$2:$F$1000,MATCH("AMF|54",Overall!$I$2:$I$1000,0)),"")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IF(B56="","",COUNTIFS(Overall!$C$2:$C$1000,"AMF",Overall!$F$2:$F$1000,"&gt;"&amp;C56)+1)</f>
        <v/>
      </c>
      <c r="B56" s="11" t="str">
        <f aca="false">IFERROR(INDEX(Overall!$B$2:$B$1000,MATCH("AMF|55",Overall!$I$2:$I$1000,0)),"")</f>
        <v/>
      </c>
      <c r="C56" s="19" t="str">
        <f aca="false">IFERROR(INDEX(Overall!$F$2:$F$1000,MATCH("AMF|55",Overall!$I$2:$I$1000,0)),"")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IF(B57="","",COUNTIFS(Overall!$C$2:$C$1000,"AMF",Overall!$F$2:$F$1000,"&gt;"&amp;C57)+1)</f>
        <v/>
      </c>
      <c r="B57" s="11" t="str">
        <f aca="false">IFERROR(INDEX(Overall!$B$2:$B$1000,MATCH("AMF|56",Overall!$I$2:$I$1000,0)),"")</f>
        <v/>
      </c>
      <c r="C57" s="19" t="str">
        <f aca="false">IFERROR(INDEX(Overall!$F$2:$F$1000,MATCH("AMF|56",Overall!$I$2:$I$1000,0)),"")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IF(B58="","",COUNTIFS(Overall!$C$2:$C$1000,"AMF",Overall!$F$2:$F$1000,"&gt;"&amp;C58)+1)</f>
        <v/>
      </c>
      <c r="B58" s="11" t="str">
        <f aca="false">IFERROR(INDEX(Overall!$B$2:$B$1000,MATCH("AMF|57",Overall!$I$2:$I$1000,0)),"")</f>
        <v/>
      </c>
      <c r="C58" s="19" t="str">
        <f aca="false">IFERROR(INDEX(Overall!$F$2:$F$1000,MATCH("AMF|57",Overall!$I$2:$I$1000,0)),"")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IF(B59="","",COUNTIFS(Overall!$C$2:$C$1000,"AMF",Overall!$F$2:$F$1000,"&gt;"&amp;C59)+1)</f>
        <v/>
      </c>
      <c r="B59" s="11" t="str">
        <f aca="false">IFERROR(INDEX(Overall!$B$2:$B$1000,MATCH("AMF|58",Overall!$I$2:$I$1000,0)),"")</f>
        <v/>
      </c>
      <c r="C59" s="19" t="str">
        <f aca="false">IFERROR(INDEX(Overall!$F$2:$F$1000,MATCH("AMF|58",Overall!$I$2:$I$1000,0)),"")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IF(B60="","",COUNTIFS(Overall!$C$2:$C$1000,"AMF",Overall!$F$2:$F$1000,"&gt;"&amp;C60)+1)</f>
        <v/>
      </c>
      <c r="B60" s="11" t="str">
        <f aca="false">IFERROR(INDEX(Overall!$B$2:$B$1000,MATCH("AMF|59",Overall!$I$2:$I$1000,0)),"")</f>
        <v/>
      </c>
      <c r="C60" s="19" t="str">
        <f aca="false">IFERROR(INDEX(Overall!$F$2:$F$1000,MATCH("AMF|59",Overall!$I$2:$I$1000,0)),"")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IF(B61="","",COUNTIFS(Overall!$C$2:$C$1000,"AMF",Overall!$F$2:$F$1000,"&gt;"&amp;C61)+1)</f>
        <v/>
      </c>
      <c r="B61" s="11" t="str">
        <f aca="false">IFERROR(INDEX(Overall!$B$2:$B$1000,MATCH("AMF|60",Overall!$I$2:$I$1000,0)),"")</f>
        <v/>
      </c>
      <c r="C61" s="19" t="str">
        <f aca="false">IFERROR(INDEX(Overall!$F$2:$F$1000,MATCH("AMF|60",Overall!$I$2:$I$1000,0)),"")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IF(B62="","",COUNTIFS(Overall!$C$2:$C$1000,"AMF",Overall!$F$2:$F$1000,"&gt;"&amp;C62)+1)</f>
        <v/>
      </c>
      <c r="B62" s="11" t="str">
        <f aca="false">IFERROR(INDEX(Overall!$B$2:$B$1000,MATCH("AMF|61",Overall!$I$2:$I$1000,0)),"")</f>
        <v/>
      </c>
      <c r="C62" s="19" t="str">
        <f aca="false">IFERROR(INDEX(Overall!$F$2:$F$1000,MATCH("AMF|61",Overall!$I$2:$I$1000,0)),"")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IF(B63="","",COUNTIFS(Overall!$C$2:$C$1000,"AMF",Overall!$F$2:$F$1000,"&gt;"&amp;C63)+1)</f>
        <v/>
      </c>
      <c r="B63" s="11" t="str">
        <f aca="false">IFERROR(INDEX(Overall!$B$2:$B$1000,MATCH("AMF|62",Overall!$I$2:$I$1000,0)),"")</f>
        <v/>
      </c>
      <c r="C63" s="19" t="str">
        <f aca="false">IFERROR(INDEX(Overall!$F$2:$F$1000,MATCH("AMF|62",Overall!$I$2:$I$1000,0)),"")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IF(B64="","",COUNTIFS(Overall!$C$2:$C$1000,"AMF",Overall!$F$2:$F$1000,"&gt;"&amp;C64)+1)</f>
        <v/>
      </c>
      <c r="B64" s="11" t="str">
        <f aca="false">IFERROR(INDEX(Overall!$B$2:$B$1000,MATCH("AMF|63",Overall!$I$2:$I$1000,0)),"")</f>
        <v/>
      </c>
      <c r="C64" s="19" t="str">
        <f aca="false">IFERROR(INDEX(Overall!$F$2:$F$1000,MATCH("AMF|63",Overall!$I$2:$I$1000,0)),"")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IF(B65="","",COUNTIFS(Overall!$C$2:$C$1000,"AMF",Overall!$F$2:$F$1000,"&gt;"&amp;C65)+1)</f>
        <v/>
      </c>
      <c r="B65" s="11" t="str">
        <f aca="false">IFERROR(INDEX(Overall!$B$2:$B$1000,MATCH("AMF|64",Overall!$I$2:$I$1000,0)),"")</f>
        <v/>
      </c>
      <c r="C65" s="19" t="str">
        <f aca="false">IFERROR(INDEX(Overall!$F$2:$F$1000,MATCH("AMF|64",Overall!$I$2:$I$1000,0)),"")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IF(B66="","",COUNTIFS(Overall!$C$2:$C$1000,"AMF",Overall!$F$2:$F$1000,"&gt;"&amp;C66)+1)</f>
        <v/>
      </c>
      <c r="B66" s="11" t="str">
        <f aca="false">IFERROR(INDEX(Overall!$B$2:$B$1000,MATCH("AMF|65",Overall!$I$2:$I$1000,0)),"")</f>
        <v/>
      </c>
      <c r="C66" s="19" t="str">
        <f aca="false">IFERROR(INDEX(Overall!$F$2:$F$1000,MATCH("AMF|65",Overall!$I$2:$I$1000,0)),"")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IF(B67="","",COUNTIFS(Overall!$C$2:$C$1000,"AMF",Overall!$F$2:$F$1000,"&gt;"&amp;C67)+1)</f>
        <v/>
      </c>
      <c r="B67" s="11" t="str">
        <f aca="false">IFERROR(INDEX(Overall!$B$2:$B$1000,MATCH("AMF|66",Overall!$I$2:$I$1000,0)),"")</f>
        <v/>
      </c>
      <c r="C67" s="19" t="str">
        <f aca="false">IFERROR(INDEX(Overall!$F$2:$F$1000,MATCH("AMF|66",Overall!$I$2:$I$1000,0)),"")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IF(B68="","",COUNTIFS(Overall!$C$2:$C$1000,"AMF",Overall!$F$2:$F$1000,"&gt;"&amp;C68)+1)</f>
        <v/>
      </c>
      <c r="B68" s="11" t="str">
        <f aca="false">IFERROR(INDEX(Overall!$B$2:$B$1000,MATCH("AMF|67",Overall!$I$2:$I$1000,0)),"")</f>
        <v/>
      </c>
      <c r="C68" s="19" t="str">
        <f aca="false">IFERROR(INDEX(Overall!$F$2:$F$1000,MATCH("AMF|67",Overall!$I$2:$I$1000,0)),"")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IF(B69="","",COUNTIFS(Overall!$C$2:$C$1000,"AMF",Overall!$F$2:$F$1000,"&gt;"&amp;C69)+1)</f>
        <v/>
      </c>
      <c r="B69" s="11" t="str">
        <f aca="false">IFERROR(INDEX(Overall!$B$2:$B$1000,MATCH("AMF|68",Overall!$I$2:$I$1000,0)),"")</f>
        <v/>
      </c>
      <c r="C69" s="19" t="str">
        <f aca="false">IFERROR(INDEX(Overall!$F$2:$F$1000,MATCH("AMF|68",Overall!$I$2:$I$1000,0)),"")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IF(B70="","",COUNTIFS(Overall!$C$2:$C$1000,"AMF",Overall!$F$2:$F$1000,"&gt;"&amp;C70)+1)</f>
        <v/>
      </c>
      <c r="B70" s="11" t="str">
        <f aca="false">IFERROR(INDEX(Overall!$B$2:$B$1000,MATCH("AMF|69",Overall!$I$2:$I$1000,0)),"")</f>
        <v/>
      </c>
      <c r="C70" s="19" t="str">
        <f aca="false">IFERROR(INDEX(Overall!$F$2:$F$1000,MATCH("AMF|69",Overall!$I$2:$I$1000,0)),"")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IF(B71="","",COUNTIFS(Overall!$C$2:$C$1000,"AMF",Overall!$F$2:$F$1000,"&gt;"&amp;C71)+1)</f>
        <v/>
      </c>
      <c r="B71" s="11" t="str">
        <f aca="false">IFERROR(INDEX(Overall!$B$2:$B$1000,MATCH("AMF|70",Overall!$I$2:$I$1000,0)),"")</f>
        <v/>
      </c>
      <c r="C71" s="19" t="str">
        <f aca="false">IFERROR(INDEX(Overall!$F$2:$F$1000,MATCH("AMF|70",Overall!$I$2:$I$1000,0)),"")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IF(B72="","",COUNTIFS(Overall!$C$2:$C$1000,"AMF",Overall!$F$2:$F$1000,"&gt;"&amp;C72)+1)</f>
        <v/>
      </c>
      <c r="B72" s="11" t="str">
        <f aca="false">IFERROR(INDEX(Overall!$B$2:$B$1000,MATCH("AMF|71",Overall!$I$2:$I$1000,0)),"")</f>
        <v/>
      </c>
      <c r="C72" s="19" t="str">
        <f aca="false">IFERROR(INDEX(Overall!$F$2:$F$1000,MATCH("AMF|71",Overall!$I$2:$I$1000,0)),"")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IF(B73="","",COUNTIFS(Overall!$C$2:$C$1000,"AMF",Overall!$F$2:$F$1000,"&gt;"&amp;C73)+1)</f>
        <v/>
      </c>
      <c r="B73" s="11" t="str">
        <f aca="false">IFERROR(INDEX(Overall!$B$2:$B$1000,MATCH("AMF|72",Overall!$I$2:$I$1000,0)),"")</f>
        <v/>
      </c>
      <c r="C73" s="19" t="str">
        <f aca="false">IFERROR(INDEX(Overall!$F$2:$F$1000,MATCH("AMF|72",Overall!$I$2:$I$1000,0)),"")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IF(B74="","",COUNTIFS(Overall!$C$2:$C$1000,"AMF",Overall!$F$2:$F$1000,"&gt;"&amp;C74)+1)</f>
        <v/>
      </c>
      <c r="B74" s="11" t="str">
        <f aca="false">IFERROR(INDEX(Overall!$B$2:$B$1000,MATCH("AMF|73",Overall!$I$2:$I$1000,0)),"")</f>
        <v/>
      </c>
      <c r="C74" s="19" t="str">
        <f aca="false">IFERROR(INDEX(Overall!$F$2:$F$1000,MATCH("AMF|73",Overall!$I$2:$I$1000,0)),"")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IF(B75="","",COUNTIFS(Overall!$C$2:$C$1000,"AMF",Overall!$F$2:$F$1000,"&gt;"&amp;C75)+1)</f>
        <v/>
      </c>
      <c r="B75" s="11" t="str">
        <f aca="false">IFERROR(INDEX(Overall!$B$2:$B$1000,MATCH("AMF|74",Overall!$I$2:$I$1000,0)),"")</f>
        <v/>
      </c>
      <c r="C75" s="19" t="str">
        <f aca="false">IFERROR(INDEX(Overall!$F$2:$F$1000,MATCH("AMF|74",Overall!$I$2:$I$1000,0)),"")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IF(B76="","",COUNTIFS(Overall!$C$2:$C$1000,"AMF",Overall!$F$2:$F$1000,"&gt;"&amp;C76)+1)</f>
        <v/>
      </c>
      <c r="B76" s="11" t="str">
        <f aca="false">IFERROR(INDEX(Overall!$B$2:$B$1000,MATCH("AMF|75",Overall!$I$2:$I$1000,0)),"")</f>
        <v/>
      </c>
      <c r="C76" s="19" t="str">
        <f aca="false">IFERROR(INDEX(Overall!$F$2:$F$1000,MATCH("AMF|75",Overall!$I$2:$I$1000,0)),"")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IF(B77="","",COUNTIFS(Overall!$C$2:$C$1000,"AMF",Overall!$F$2:$F$1000,"&gt;"&amp;C77)+1)</f>
        <v/>
      </c>
      <c r="B77" s="11" t="str">
        <f aca="false">IFERROR(INDEX(Overall!$B$2:$B$1000,MATCH("AMF|76",Overall!$I$2:$I$1000,0)),"")</f>
        <v/>
      </c>
      <c r="C77" s="19" t="str">
        <f aca="false">IFERROR(INDEX(Overall!$F$2:$F$1000,MATCH("AMF|76",Overall!$I$2:$I$1000,0)),"")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IF(B78="","",COUNTIFS(Overall!$C$2:$C$1000,"AMF",Overall!$F$2:$F$1000,"&gt;"&amp;C78)+1)</f>
        <v/>
      </c>
      <c r="B78" s="11" t="str">
        <f aca="false">IFERROR(INDEX(Overall!$B$2:$B$1000,MATCH("AMF|77",Overall!$I$2:$I$1000,0)),"")</f>
        <v/>
      </c>
      <c r="C78" s="19" t="str">
        <f aca="false">IFERROR(INDEX(Overall!$F$2:$F$1000,MATCH("AMF|77",Overall!$I$2:$I$1000,0)),"")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IF(B79="","",COUNTIFS(Overall!$C$2:$C$1000,"AMF",Overall!$F$2:$F$1000,"&gt;"&amp;C79)+1)</f>
        <v/>
      </c>
      <c r="B79" s="11" t="str">
        <f aca="false">IFERROR(INDEX(Overall!$B$2:$B$1000,MATCH("AMF|78",Overall!$I$2:$I$1000,0)),"")</f>
        <v/>
      </c>
      <c r="C79" s="19" t="str">
        <f aca="false">IFERROR(INDEX(Overall!$F$2:$F$1000,MATCH("AMF|78",Overall!$I$2:$I$1000,0)),"")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IF(B80="","",COUNTIFS(Overall!$C$2:$C$1000,"AMF",Overall!$F$2:$F$1000,"&gt;"&amp;C80)+1)</f>
        <v/>
      </c>
      <c r="B80" s="11" t="str">
        <f aca="false">IFERROR(INDEX(Overall!$B$2:$B$1000,MATCH("AMF|79",Overall!$I$2:$I$1000,0)),"")</f>
        <v/>
      </c>
      <c r="C80" s="19" t="str">
        <f aca="false">IFERROR(INDEX(Overall!$F$2:$F$1000,MATCH("AMF|79",Overall!$I$2:$I$1000,0)),"")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IF(B81="","",COUNTIFS(Overall!$C$2:$C$1000,"AMF",Overall!$F$2:$F$1000,"&gt;"&amp;C81)+1)</f>
        <v/>
      </c>
      <c r="B81" s="11" t="str">
        <f aca="false">IFERROR(INDEX(Overall!$B$2:$B$1000,MATCH("AMF|80",Overall!$I$2:$I$1000,0)),"")</f>
        <v/>
      </c>
      <c r="C81" s="19" t="str">
        <f aca="false">IFERROR(INDEX(Overall!$F$2:$F$1000,MATCH("AMF|80",Overall!$I$2:$I$1000,0)),"")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IF(B82="","",COUNTIFS(Overall!$C$2:$C$1000,"AMF",Overall!$F$2:$F$1000,"&gt;"&amp;C82)+1)</f>
        <v/>
      </c>
      <c r="B82" s="11" t="str">
        <f aca="false">IFERROR(INDEX(Overall!$B$2:$B$1000,MATCH("AMF|81",Overall!$I$2:$I$1000,0)),"")</f>
        <v/>
      </c>
      <c r="C82" s="19" t="str">
        <f aca="false">IFERROR(INDEX(Overall!$F$2:$F$1000,MATCH("AMF|81",Overall!$I$2:$I$1000,0)),"")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IF(B83="","",COUNTIFS(Overall!$C$2:$C$1000,"AMF",Overall!$F$2:$F$1000,"&gt;"&amp;C83)+1)</f>
        <v/>
      </c>
      <c r="B83" s="11" t="str">
        <f aca="false">IFERROR(INDEX(Overall!$B$2:$B$1000,MATCH("AMF|82",Overall!$I$2:$I$1000,0)),"")</f>
        <v/>
      </c>
      <c r="C83" s="19" t="str">
        <f aca="false">IFERROR(INDEX(Overall!$F$2:$F$1000,MATCH("AMF|82",Overall!$I$2:$I$1000,0)),"")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IF(B84="","",COUNTIFS(Overall!$C$2:$C$1000,"AMF",Overall!$F$2:$F$1000,"&gt;"&amp;C84)+1)</f>
        <v/>
      </c>
      <c r="B84" s="11" t="str">
        <f aca="false">IFERROR(INDEX(Overall!$B$2:$B$1000,MATCH("AMF|83",Overall!$I$2:$I$1000,0)),"")</f>
        <v/>
      </c>
      <c r="C84" s="19" t="str">
        <f aca="false">IFERROR(INDEX(Overall!$F$2:$F$1000,MATCH("AMF|83",Overall!$I$2:$I$1000,0)),"")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IF(B85="","",COUNTIFS(Overall!$C$2:$C$1000,"AMF",Overall!$F$2:$F$1000,"&gt;"&amp;C85)+1)</f>
        <v/>
      </c>
      <c r="B85" s="11" t="str">
        <f aca="false">IFERROR(INDEX(Overall!$B$2:$B$1000,MATCH("AMF|84",Overall!$I$2:$I$1000,0)),"")</f>
        <v/>
      </c>
      <c r="C85" s="19" t="str">
        <f aca="false">IFERROR(INDEX(Overall!$F$2:$F$1000,MATCH("AMF|84",Overall!$I$2:$I$1000,0)),"")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IF(B86="","",COUNTIFS(Overall!$C$2:$C$1000,"AMF",Overall!$F$2:$F$1000,"&gt;"&amp;C86)+1)</f>
        <v/>
      </c>
      <c r="B86" s="11" t="str">
        <f aca="false">IFERROR(INDEX(Overall!$B$2:$B$1000,MATCH("AMF|85",Overall!$I$2:$I$1000,0)),"")</f>
        <v/>
      </c>
      <c r="C86" s="19" t="str">
        <f aca="false">IFERROR(INDEX(Overall!$F$2:$F$1000,MATCH("AMF|85",Overall!$I$2:$I$1000,0)),"")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IF(B87="","",COUNTIFS(Overall!$C$2:$C$1000,"AMF",Overall!$F$2:$F$1000,"&gt;"&amp;C87)+1)</f>
        <v/>
      </c>
      <c r="B87" s="11" t="str">
        <f aca="false">IFERROR(INDEX(Overall!$B$2:$B$1000,MATCH("AMF|86",Overall!$I$2:$I$1000,0)),"")</f>
        <v/>
      </c>
      <c r="C87" s="19" t="str">
        <f aca="false">IFERROR(INDEX(Overall!$F$2:$F$1000,MATCH("AMF|86",Overall!$I$2:$I$1000,0)),"")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IF(B88="","",COUNTIFS(Overall!$C$2:$C$1000,"AMF",Overall!$F$2:$F$1000,"&gt;"&amp;C88)+1)</f>
        <v/>
      </c>
      <c r="B88" s="11" t="str">
        <f aca="false">IFERROR(INDEX(Overall!$B$2:$B$1000,MATCH("AMF|87",Overall!$I$2:$I$1000,0)),"")</f>
        <v/>
      </c>
      <c r="C88" s="19" t="str">
        <f aca="false">IFERROR(INDEX(Overall!$F$2:$F$1000,MATCH("AMF|87",Overall!$I$2:$I$1000,0)),"")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IF(B89="","",COUNTIFS(Overall!$C$2:$C$1000,"AMF",Overall!$F$2:$F$1000,"&gt;"&amp;C89)+1)</f>
        <v/>
      </c>
      <c r="B89" s="11" t="str">
        <f aca="false">IFERROR(INDEX(Overall!$B$2:$B$1000,MATCH("AMF|88",Overall!$I$2:$I$1000,0)),"")</f>
        <v/>
      </c>
      <c r="C89" s="19" t="str">
        <f aca="false">IFERROR(INDEX(Overall!$F$2:$F$1000,MATCH("AMF|88",Overall!$I$2:$I$1000,0)),"")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IF(B90="","",COUNTIFS(Overall!$C$2:$C$1000,"AMF",Overall!$F$2:$F$1000,"&gt;"&amp;C90)+1)</f>
        <v/>
      </c>
      <c r="B90" s="11" t="str">
        <f aca="false">IFERROR(INDEX(Overall!$B$2:$B$1000,MATCH("AMF|89",Overall!$I$2:$I$1000,0)),"")</f>
        <v/>
      </c>
      <c r="C90" s="19" t="str">
        <f aca="false">IFERROR(INDEX(Overall!$F$2:$F$1000,MATCH("AMF|89",Overall!$I$2:$I$1000,0)),"")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IF(B91="","",COUNTIFS(Overall!$C$2:$C$1000,"AMF",Overall!$F$2:$F$1000,"&gt;"&amp;C91)+1)</f>
        <v/>
      </c>
      <c r="B91" s="11" t="str">
        <f aca="false">IFERROR(INDEX(Overall!$B$2:$B$1000,MATCH("AMF|90",Overall!$I$2:$I$1000,0)),"")</f>
        <v/>
      </c>
      <c r="C91" s="19" t="str">
        <f aca="false">IFERROR(INDEX(Overall!$F$2:$F$1000,MATCH("AMF|90",Overall!$I$2:$I$1000,0)),"")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IF(B92="","",COUNTIFS(Overall!$C$2:$C$1000,"AMF",Overall!$F$2:$F$1000,"&gt;"&amp;C92)+1)</f>
        <v/>
      </c>
      <c r="B92" s="11" t="str">
        <f aca="false">IFERROR(INDEX(Overall!$B$2:$B$1000,MATCH("AMF|91",Overall!$I$2:$I$1000,0)),"")</f>
        <v/>
      </c>
      <c r="C92" s="19" t="str">
        <f aca="false">IFERROR(INDEX(Overall!$F$2:$F$1000,MATCH("AMF|91",Overall!$I$2:$I$1000,0)),"")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IF(B93="","",COUNTIFS(Overall!$C$2:$C$1000,"AMF",Overall!$F$2:$F$1000,"&gt;"&amp;C93)+1)</f>
        <v/>
      </c>
      <c r="B93" s="11" t="str">
        <f aca="false">IFERROR(INDEX(Overall!$B$2:$B$1000,MATCH("AMF|92",Overall!$I$2:$I$1000,0)),"")</f>
        <v/>
      </c>
      <c r="C93" s="19" t="str">
        <f aca="false">IFERROR(INDEX(Overall!$F$2:$F$1000,MATCH("AMF|92",Overall!$I$2:$I$1000,0)),"")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IF(B94="","",COUNTIFS(Overall!$C$2:$C$1000,"AMF",Overall!$F$2:$F$1000,"&gt;"&amp;C94)+1)</f>
        <v/>
      </c>
      <c r="B94" s="11" t="str">
        <f aca="false">IFERROR(INDEX(Overall!$B$2:$B$1000,MATCH("AMF|93",Overall!$I$2:$I$1000,0)),"")</f>
        <v/>
      </c>
      <c r="C94" s="19" t="str">
        <f aca="false">IFERROR(INDEX(Overall!$F$2:$F$1000,MATCH("AMF|93",Overall!$I$2:$I$1000,0)),"")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IF(B95="","",COUNTIFS(Overall!$C$2:$C$1000,"AMF",Overall!$F$2:$F$1000,"&gt;"&amp;C95)+1)</f>
        <v/>
      </c>
      <c r="B95" s="11" t="str">
        <f aca="false">IFERROR(INDEX(Overall!$B$2:$B$1000,MATCH("AMF|94",Overall!$I$2:$I$1000,0)),"")</f>
        <v/>
      </c>
      <c r="C95" s="19" t="str">
        <f aca="false">IFERROR(INDEX(Overall!$F$2:$F$1000,MATCH("AMF|94",Overall!$I$2:$I$1000,0)),"")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IF(B96="","",COUNTIFS(Overall!$C$2:$C$1000,"AMF",Overall!$F$2:$F$1000,"&gt;"&amp;C96)+1)</f>
        <v/>
      </c>
      <c r="B96" s="11" t="str">
        <f aca="false">IFERROR(INDEX(Overall!$B$2:$B$1000,MATCH("AMF|95",Overall!$I$2:$I$1000,0)),"")</f>
        <v/>
      </c>
      <c r="C96" s="19" t="str">
        <f aca="false">IFERROR(INDEX(Overall!$F$2:$F$1000,MATCH("AMF|95",Overall!$I$2:$I$1000,0)),"")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IF(B97="","",COUNTIFS(Overall!$C$2:$C$1000,"AMF",Overall!$F$2:$F$1000,"&gt;"&amp;C97)+1)</f>
        <v/>
      </c>
      <c r="B97" s="11" t="str">
        <f aca="false">IFERROR(INDEX(Overall!$B$2:$B$1000,MATCH("AMF|96",Overall!$I$2:$I$1000,0)),"")</f>
        <v/>
      </c>
      <c r="C97" s="19" t="str">
        <f aca="false">IFERROR(INDEX(Overall!$F$2:$F$1000,MATCH("AMF|96",Overall!$I$2:$I$1000,0)),"")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IF(B98="","",COUNTIFS(Overall!$C$2:$C$1000,"AMF",Overall!$F$2:$F$1000,"&gt;"&amp;C98)+1)</f>
        <v/>
      </c>
      <c r="B98" s="11" t="str">
        <f aca="false">IFERROR(INDEX(Overall!$B$2:$B$1000,MATCH("AMF|97",Overall!$I$2:$I$1000,0)),"")</f>
        <v/>
      </c>
      <c r="C98" s="19" t="str">
        <f aca="false">IFERROR(INDEX(Overall!$F$2:$F$1000,MATCH("AMF|97",Overall!$I$2:$I$1000,0)),"")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IF(B99="","",COUNTIFS(Overall!$C$2:$C$1000,"AMF",Overall!$F$2:$F$1000,"&gt;"&amp;C99)+1)</f>
        <v/>
      </c>
      <c r="B99" s="11" t="str">
        <f aca="false">IFERROR(INDEX(Overall!$B$2:$B$1000,MATCH("AMF|98",Overall!$I$2:$I$1000,0)),"")</f>
        <v/>
      </c>
      <c r="C99" s="19" t="str">
        <f aca="false">IFERROR(INDEX(Overall!$F$2:$F$1000,MATCH("AMF|98",Overall!$I$2:$I$1000,0)),"")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IF(B100="","",COUNTIFS(Overall!$C$2:$C$1000,"AMF",Overall!$F$2:$F$1000,"&gt;"&amp;C100)+1)</f>
        <v/>
      </c>
      <c r="B100" s="11" t="str">
        <f aca="false">IFERROR(INDEX(Overall!$B$2:$B$1000,MATCH("AMF|99",Overall!$I$2:$I$1000,0)),"")</f>
        <v/>
      </c>
      <c r="C100" s="19" t="str">
        <f aca="false">IFERROR(INDEX(Overall!$F$2:$F$1000,MATCH("AMF|99",Overall!$I$2:$I$1000,0)),"")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IF(B101="","",COUNTIFS(Overall!$C$2:$C$1000,"AMF",Overall!$F$2:$F$1000,"&gt;"&amp;C101)+1)</f>
        <v/>
      </c>
      <c r="B101" s="11" t="str">
        <f aca="false">IFERROR(INDEX(Overall!$B$2:$B$1000,MATCH("AMF|100",Overall!$I$2:$I$1000,0)),"")</f>
        <v/>
      </c>
      <c r="C101" s="19" t="str">
        <f aca="false">IFERROR(INDEX(Overall!$F$2:$F$1000,MATCH("AMF|100",Overall!$I$2:$I$1000,0)),"")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IF(B102="","",COUNTIFS(Overall!$C$2:$C$1000,"AMF",Overall!$F$2:$F$1000,"&gt;"&amp;C102)+1)</f>
        <v/>
      </c>
      <c r="B102" s="11" t="str">
        <f aca="false">IFERROR(INDEX(Overall!$B$2:$B$1000,MATCH("AMF|101",Overall!$I$2:$I$1000,0)),"")</f>
        <v/>
      </c>
      <c r="C102" s="19" t="str">
        <f aca="false">IFERROR(INDEX(Overall!$F$2:$F$1000,MATCH("AMF|101",Overall!$I$2:$I$1000,0)),"")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IF(B103="","",COUNTIFS(Overall!$C$2:$C$1000,"AMF",Overall!$F$2:$F$1000,"&gt;"&amp;C103)+1)</f>
        <v/>
      </c>
      <c r="B103" s="11" t="str">
        <f aca="false">IFERROR(INDEX(Overall!$B$2:$B$1000,MATCH("AMF|102",Overall!$I$2:$I$1000,0)),"")</f>
        <v/>
      </c>
      <c r="C103" s="19" t="str">
        <f aca="false">IFERROR(INDEX(Overall!$F$2:$F$1000,MATCH("AMF|102",Overall!$I$2:$I$1000,0)),"")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IF(B104="","",COUNTIFS(Overall!$C$2:$C$1000,"AMF",Overall!$F$2:$F$1000,"&gt;"&amp;C104)+1)</f>
        <v/>
      </c>
      <c r="B104" s="11" t="str">
        <f aca="false">IFERROR(INDEX(Overall!$B$2:$B$1000,MATCH("AMF|103",Overall!$I$2:$I$1000,0)),"")</f>
        <v/>
      </c>
      <c r="C104" s="19" t="str">
        <f aca="false">IFERROR(INDEX(Overall!$F$2:$F$1000,MATCH("AMF|103",Overall!$I$2:$I$1000,0)),"")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IF(B105="","",COUNTIFS(Overall!$C$2:$C$1000,"AMF",Overall!$F$2:$F$1000,"&gt;"&amp;C105)+1)</f>
        <v/>
      </c>
      <c r="B105" s="11" t="str">
        <f aca="false">IFERROR(INDEX(Overall!$B$2:$B$1000,MATCH("AMF|104",Overall!$I$2:$I$1000,0)),"")</f>
        <v/>
      </c>
      <c r="C105" s="19" t="str">
        <f aca="false">IFERROR(INDEX(Overall!$F$2:$F$1000,MATCH("AMF|104",Overall!$I$2:$I$1000,0)),"")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IF(B106="","",COUNTIFS(Overall!$C$2:$C$1000,"AMF",Overall!$F$2:$F$1000,"&gt;"&amp;C106)+1)</f>
        <v/>
      </c>
      <c r="B106" s="11" t="str">
        <f aca="false">IFERROR(INDEX(Overall!$B$2:$B$1000,MATCH("AMF|105",Overall!$I$2:$I$1000,0)),"")</f>
        <v/>
      </c>
      <c r="C106" s="19" t="str">
        <f aca="false">IFERROR(INDEX(Overall!$F$2:$F$1000,MATCH("AMF|105",Overall!$I$2:$I$1000,0)),"")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IF(B107="","",COUNTIFS(Overall!$C$2:$C$1000,"AMF",Overall!$F$2:$F$1000,"&gt;"&amp;C107)+1)</f>
        <v/>
      </c>
      <c r="B107" s="11" t="str">
        <f aca="false">IFERROR(INDEX(Overall!$B$2:$B$1000,MATCH("AMF|106",Overall!$I$2:$I$1000,0)),"")</f>
        <v/>
      </c>
      <c r="C107" s="19" t="str">
        <f aca="false">IFERROR(INDEX(Overall!$F$2:$F$1000,MATCH("AMF|106",Overall!$I$2:$I$1000,0)),"")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IF(B108="","",COUNTIFS(Overall!$C$2:$C$1000,"AMF",Overall!$F$2:$F$1000,"&gt;"&amp;C108)+1)</f>
        <v/>
      </c>
      <c r="B108" s="11" t="str">
        <f aca="false">IFERROR(INDEX(Overall!$B$2:$B$1000,MATCH("AMF|107",Overall!$I$2:$I$1000,0)),"")</f>
        <v/>
      </c>
      <c r="C108" s="19" t="str">
        <f aca="false">IFERROR(INDEX(Overall!$F$2:$F$1000,MATCH("AMF|107",Overall!$I$2:$I$1000,0)),"")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IF(B109="","",COUNTIFS(Overall!$C$2:$C$1000,"AMF",Overall!$F$2:$F$1000,"&gt;"&amp;C109)+1)</f>
        <v/>
      </c>
      <c r="B109" s="11" t="str">
        <f aca="false">IFERROR(INDEX(Overall!$B$2:$B$1000,MATCH("AMF|108",Overall!$I$2:$I$1000,0)),"")</f>
        <v/>
      </c>
      <c r="C109" s="19" t="str">
        <f aca="false">IFERROR(INDEX(Overall!$F$2:$F$1000,MATCH("AMF|108",Overall!$I$2:$I$1000,0)),"")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IF(B110="","",COUNTIFS(Overall!$C$2:$C$1000,"AMF",Overall!$F$2:$F$1000,"&gt;"&amp;C110)+1)</f>
        <v/>
      </c>
      <c r="B110" s="11" t="str">
        <f aca="false">IFERROR(INDEX(Overall!$B$2:$B$1000,MATCH("AMF|109",Overall!$I$2:$I$1000,0)),"")</f>
        <v/>
      </c>
      <c r="C110" s="19" t="str">
        <f aca="false">IFERROR(INDEX(Overall!$F$2:$F$1000,MATCH("AMF|109",Overall!$I$2:$I$1000,0)),"")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IF(B111="","",COUNTIFS(Overall!$C$2:$C$1000,"AMF",Overall!$F$2:$F$1000,"&gt;"&amp;C111)+1)</f>
        <v/>
      </c>
      <c r="B111" s="11" t="str">
        <f aca="false">IFERROR(INDEX(Overall!$B$2:$B$1000,MATCH("AMF|110",Overall!$I$2:$I$1000,0)),"")</f>
        <v/>
      </c>
      <c r="C111" s="19" t="str">
        <f aca="false">IFERROR(INDEX(Overall!$F$2:$F$1000,MATCH("AMF|110",Overall!$I$2:$I$1000,0)),"")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IF(B112="","",COUNTIFS(Overall!$C$2:$C$1000,"AMF",Overall!$F$2:$F$1000,"&gt;"&amp;C112)+1)</f>
        <v/>
      </c>
      <c r="B112" s="11" t="str">
        <f aca="false">IFERROR(INDEX(Overall!$B$2:$B$1000,MATCH("AMF|111",Overall!$I$2:$I$1000,0)),"")</f>
        <v/>
      </c>
      <c r="C112" s="19" t="str">
        <f aca="false">IFERROR(INDEX(Overall!$F$2:$F$1000,MATCH("AMF|111",Overall!$I$2:$I$1000,0)),"")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IF(B113="","",COUNTIFS(Overall!$C$2:$C$1000,"AMF",Overall!$F$2:$F$1000,"&gt;"&amp;C113)+1)</f>
        <v/>
      </c>
      <c r="B113" s="11" t="str">
        <f aca="false">IFERROR(INDEX(Overall!$B$2:$B$1000,MATCH("AMF|112",Overall!$I$2:$I$1000,0)),"")</f>
        <v/>
      </c>
      <c r="C113" s="19" t="str">
        <f aca="false">IFERROR(INDEX(Overall!$F$2:$F$1000,MATCH("AMF|112",Overall!$I$2:$I$1000,0)),"")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IF(B114="","",COUNTIFS(Overall!$C$2:$C$1000,"AMF",Overall!$F$2:$F$1000,"&gt;"&amp;C114)+1)</f>
        <v/>
      </c>
      <c r="B114" s="11" t="str">
        <f aca="false">IFERROR(INDEX(Overall!$B$2:$B$1000,MATCH("AMF|113",Overall!$I$2:$I$1000,0)),"")</f>
        <v/>
      </c>
      <c r="C114" s="19" t="str">
        <f aca="false">IFERROR(INDEX(Overall!$F$2:$F$1000,MATCH("AMF|113",Overall!$I$2:$I$1000,0)),"")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IF(B115="","",COUNTIFS(Overall!$C$2:$C$1000,"AMF",Overall!$F$2:$F$1000,"&gt;"&amp;C115)+1)</f>
        <v/>
      </c>
      <c r="B115" s="11" t="str">
        <f aca="false">IFERROR(INDEX(Overall!$B$2:$B$1000,MATCH("AMF|114",Overall!$I$2:$I$1000,0)),"")</f>
        <v/>
      </c>
      <c r="C115" s="19" t="str">
        <f aca="false">IFERROR(INDEX(Overall!$F$2:$F$1000,MATCH("AMF|114",Overall!$I$2:$I$1000,0)),"")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IF(B116="","",COUNTIFS(Overall!$C$2:$C$1000,"AMF",Overall!$F$2:$F$1000,"&gt;"&amp;C116)+1)</f>
        <v/>
      </c>
      <c r="B116" s="11" t="str">
        <f aca="false">IFERROR(INDEX(Overall!$B$2:$B$1000,MATCH("AMF|115",Overall!$I$2:$I$1000,0)),"")</f>
        <v/>
      </c>
      <c r="C116" s="19" t="str">
        <f aca="false">IFERROR(INDEX(Overall!$F$2:$F$1000,MATCH("AMF|115",Overall!$I$2:$I$1000,0)),"")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IF(B117="","",COUNTIFS(Overall!$C$2:$C$1000,"AMF",Overall!$F$2:$F$1000,"&gt;"&amp;C117)+1)</f>
        <v/>
      </c>
      <c r="B117" s="11" t="str">
        <f aca="false">IFERROR(INDEX(Overall!$B$2:$B$1000,MATCH("AMF|116",Overall!$I$2:$I$1000,0)),"")</f>
        <v/>
      </c>
      <c r="C117" s="19" t="str">
        <f aca="false">IFERROR(INDEX(Overall!$F$2:$F$1000,MATCH("AMF|116",Overall!$I$2:$I$1000,0)),"")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IF(B118="","",COUNTIFS(Overall!$C$2:$C$1000,"AMF",Overall!$F$2:$F$1000,"&gt;"&amp;C118)+1)</f>
        <v/>
      </c>
      <c r="B118" s="11" t="str">
        <f aca="false">IFERROR(INDEX(Overall!$B$2:$B$1000,MATCH("AMF|117",Overall!$I$2:$I$1000,0)),"")</f>
        <v/>
      </c>
      <c r="C118" s="19" t="str">
        <f aca="false">IFERROR(INDEX(Overall!$F$2:$F$1000,MATCH("AMF|117",Overall!$I$2:$I$1000,0)),"")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IF(B119="","",COUNTIFS(Overall!$C$2:$C$1000,"AMF",Overall!$F$2:$F$1000,"&gt;"&amp;C119)+1)</f>
        <v/>
      </c>
      <c r="B119" s="11" t="str">
        <f aca="false">IFERROR(INDEX(Overall!$B$2:$B$1000,MATCH("AMF|118",Overall!$I$2:$I$1000,0)),"")</f>
        <v/>
      </c>
      <c r="C119" s="19" t="str">
        <f aca="false">IFERROR(INDEX(Overall!$F$2:$F$1000,MATCH("AMF|118",Overall!$I$2:$I$1000,0)),"")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IF(B120="","",COUNTIFS(Overall!$C$2:$C$1000,"AMF",Overall!$F$2:$F$1000,"&gt;"&amp;C120)+1)</f>
        <v/>
      </c>
      <c r="B120" s="11" t="str">
        <f aca="false">IFERROR(INDEX(Overall!$B$2:$B$1000,MATCH("AMF|119",Overall!$I$2:$I$1000,0)),"")</f>
        <v/>
      </c>
      <c r="C120" s="19" t="str">
        <f aca="false">IFERROR(INDEX(Overall!$F$2:$F$1000,MATCH("AMF|119",Overall!$I$2:$I$1000,0)),"")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IF(B121="","",COUNTIFS(Overall!$C$2:$C$1000,"AMF",Overall!$F$2:$F$1000,"&gt;"&amp;C121)+1)</f>
        <v/>
      </c>
      <c r="B121" s="11" t="str">
        <f aca="false">IFERROR(INDEX(Overall!$B$2:$B$1000,MATCH("AMF|120",Overall!$I$2:$I$1000,0)),"")</f>
        <v/>
      </c>
      <c r="C121" s="19" t="str">
        <f aca="false">IFERROR(INDEX(Overall!$F$2:$F$1000,MATCH("AMF|120",Overall!$I$2:$I$1000,0)),"")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IF(B122="","",COUNTIFS(Overall!$C$2:$C$1000,"AMF",Overall!$F$2:$F$1000,"&gt;"&amp;C122)+1)</f>
        <v/>
      </c>
      <c r="B122" s="11" t="str">
        <f aca="false">IFERROR(INDEX(Overall!$B$2:$B$1000,MATCH("AMF|121",Overall!$I$2:$I$1000,0)),"")</f>
        <v/>
      </c>
      <c r="C122" s="19" t="str">
        <f aca="false">IFERROR(INDEX(Overall!$F$2:$F$1000,MATCH("AMF|121",Overall!$I$2:$I$1000,0)),"")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IF(B123="","",COUNTIFS(Overall!$C$2:$C$1000,"AMF",Overall!$F$2:$F$1000,"&gt;"&amp;C123)+1)</f>
        <v/>
      </c>
      <c r="B123" s="11" t="str">
        <f aca="false">IFERROR(INDEX(Overall!$B$2:$B$1000,MATCH("AMF|122",Overall!$I$2:$I$1000,0)),"")</f>
        <v/>
      </c>
      <c r="C123" s="19" t="str">
        <f aca="false">IFERROR(INDEX(Overall!$F$2:$F$1000,MATCH("AMF|122",Overall!$I$2:$I$1000,0)),"")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IF(B124="","",COUNTIFS(Overall!$C$2:$C$1000,"AMF",Overall!$F$2:$F$1000,"&gt;"&amp;C124)+1)</f>
        <v/>
      </c>
      <c r="B124" s="11" t="str">
        <f aca="false">IFERROR(INDEX(Overall!$B$2:$B$1000,MATCH("AMF|123",Overall!$I$2:$I$1000,0)),"")</f>
        <v/>
      </c>
      <c r="C124" s="19" t="str">
        <f aca="false">IFERROR(INDEX(Overall!$F$2:$F$1000,MATCH("AMF|123",Overall!$I$2:$I$1000,0)),"")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IF(B125="","",COUNTIFS(Overall!$C$2:$C$1000,"AMF",Overall!$F$2:$F$1000,"&gt;"&amp;C125)+1)</f>
        <v/>
      </c>
      <c r="B125" s="11" t="str">
        <f aca="false">IFERROR(INDEX(Overall!$B$2:$B$1000,MATCH("AMF|124",Overall!$I$2:$I$1000,0)),"")</f>
        <v/>
      </c>
      <c r="C125" s="19" t="str">
        <f aca="false">IFERROR(INDEX(Overall!$F$2:$F$1000,MATCH("AMF|124",Overall!$I$2:$I$1000,0)),"")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IF(B126="","",COUNTIFS(Overall!$C$2:$C$1000,"AMF",Overall!$F$2:$F$1000,"&gt;"&amp;C126)+1)</f>
        <v/>
      </c>
      <c r="B126" s="11" t="str">
        <f aca="false">IFERROR(INDEX(Overall!$B$2:$B$1000,MATCH("AMF|125",Overall!$I$2:$I$1000,0)),"")</f>
        <v/>
      </c>
      <c r="C126" s="19" t="str">
        <f aca="false">IFERROR(INDEX(Overall!$F$2:$F$1000,MATCH("AMF|125",Overall!$I$2:$I$1000,0)),"")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IF(B127="","",COUNTIFS(Overall!$C$2:$C$1000,"AMF",Overall!$F$2:$F$1000,"&gt;"&amp;C127)+1)</f>
        <v/>
      </c>
      <c r="B127" s="11" t="str">
        <f aca="false">IFERROR(INDEX(Overall!$B$2:$B$1000,MATCH("AMF|126",Overall!$I$2:$I$1000,0)),"")</f>
        <v/>
      </c>
      <c r="C127" s="19" t="str">
        <f aca="false">IFERROR(INDEX(Overall!$F$2:$F$1000,MATCH("AMF|126",Overall!$I$2:$I$1000,0)),"")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IF(B128="","",COUNTIFS(Overall!$C$2:$C$1000,"AMF",Overall!$F$2:$F$1000,"&gt;"&amp;C128)+1)</f>
        <v/>
      </c>
      <c r="B128" s="11" t="str">
        <f aca="false">IFERROR(INDEX(Overall!$B$2:$B$1000,MATCH("AMF|127",Overall!$I$2:$I$1000,0)),"")</f>
        <v/>
      </c>
      <c r="C128" s="19" t="str">
        <f aca="false">IFERROR(INDEX(Overall!$F$2:$F$1000,MATCH("AMF|127",Overall!$I$2:$I$1000,0)),"")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IF(B129="","",COUNTIFS(Overall!$C$2:$C$1000,"AMF",Overall!$F$2:$F$1000,"&gt;"&amp;C129)+1)</f>
        <v/>
      </c>
      <c r="B129" s="11" t="str">
        <f aca="false">IFERROR(INDEX(Overall!$B$2:$B$1000,MATCH("AMF|128",Overall!$I$2:$I$1000,0)),"")</f>
        <v/>
      </c>
      <c r="C129" s="19" t="str">
        <f aca="false">IFERROR(INDEX(Overall!$F$2:$F$1000,MATCH("AMF|128",Overall!$I$2:$I$1000,0)),"")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IF(B130="","",COUNTIFS(Overall!$C$2:$C$1000,"AMF",Overall!$F$2:$F$1000,"&gt;"&amp;C130)+1)</f>
        <v/>
      </c>
      <c r="B130" s="11" t="str">
        <f aca="false">IFERROR(INDEX(Overall!$B$2:$B$1000,MATCH("AMF|129",Overall!$I$2:$I$1000,0)),"")</f>
        <v/>
      </c>
      <c r="C130" s="19" t="str">
        <f aca="false">IFERROR(INDEX(Overall!$F$2:$F$1000,MATCH("AMF|129",Overall!$I$2:$I$1000,0)),"")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IF(B131="","",COUNTIFS(Overall!$C$2:$C$1000,"AMF",Overall!$F$2:$F$1000,"&gt;"&amp;C131)+1)</f>
        <v/>
      </c>
      <c r="B131" s="11" t="str">
        <f aca="false">IFERROR(INDEX(Overall!$B$2:$B$1000,MATCH("AMF|130",Overall!$I$2:$I$1000,0)),"")</f>
        <v/>
      </c>
      <c r="C131" s="19" t="str">
        <f aca="false">IFERROR(INDEX(Overall!$F$2:$F$1000,MATCH("AMF|130",Overall!$I$2:$I$1000,0)),"")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IF(B132="","",COUNTIFS(Overall!$C$2:$C$1000,"AMF",Overall!$F$2:$F$1000,"&gt;"&amp;C132)+1)</f>
        <v/>
      </c>
      <c r="B132" s="11" t="str">
        <f aca="false">IFERROR(INDEX(Overall!$B$2:$B$1000,MATCH("AMF|131",Overall!$I$2:$I$1000,0)),"")</f>
        <v/>
      </c>
      <c r="C132" s="19" t="str">
        <f aca="false">IFERROR(INDEX(Overall!$F$2:$F$1000,MATCH("AMF|131",Overall!$I$2:$I$1000,0)),"")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IF(B133="","",COUNTIFS(Overall!$C$2:$C$1000,"AMF",Overall!$F$2:$F$1000,"&gt;"&amp;C133)+1)</f>
        <v/>
      </c>
      <c r="B133" s="11" t="str">
        <f aca="false">IFERROR(INDEX(Overall!$B$2:$B$1000,MATCH("AMF|132",Overall!$I$2:$I$1000,0)),"")</f>
        <v/>
      </c>
      <c r="C133" s="19" t="str">
        <f aca="false">IFERROR(INDEX(Overall!$F$2:$F$1000,MATCH("AMF|132",Overall!$I$2:$I$1000,0)),"")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IF(B134="","",COUNTIFS(Overall!$C$2:$C$1000,"AMF",Overall!$F$2:$F$1000,"&gt;"&amp;C134)+1)</f>
        <v/>
      </c>
      <c r="B134" s="11" t="str">
        <f aca="false">IFERROR(INDEX(Overall!$B$2:$B$1000,MATCH("AMF|133",Overall!$I$2:$I$1000,0)),"")</f>
        <v/>
      </c>
      <c r="C134" s="19" t="str">
        <f aca="false">IFERROR(INDEX(Overall!$F$2:$F$1000,MATCH("AMF|133",Overall!$I$2:$I$1000,0)),"")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IF(B135="","",COUNTIFS(Overall!$C$2:$C$1000,"AMF",Overall!$F$2:$F$1000,"&gt;"&amp;C135)+1)</f>
        <v/>
      </c>
      <c r="B135" s="11" t="str">
        <f aca="false">IFERROR(INDEX(Overall!$B$2:$B$1000,MATCH("AMF|134",Overall!$I$2:$I$1000,0)),"")</f>
        <v/>
      </c>
      <c r="C135" s="19" t="str">
        <f aca="false">IFERROR(INDEX(Overall!$F$2:$F$1000,MATCH("AMF|134",Overall!$I$2:$I$1000,0)),"")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IF(B136="","",COUNTIFS(Overall!$C$2:$C$1000,"AMF",Overall!$F$2:$F$1000,"&gt;"&amp;C136)+1)</f>
        <v/>
      </c>
      <c r="B136" s="11" t="str">
        <f aca="false">IFERROR(INDEX(Overall!$B$2:$B$1000,MATCH("AMF|135",Overall!$I$2:$I$1000,0)),"")</f>
        <v/>
      </c>
      <c r="C136" s="19" t="str">
        <f aca="false">IFERROR(INDEX(Overall!$F$2:$F$1000,MATCH("AMF|135",Overall!$I$2:$I$1000,0)),"")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IF(B137="","",COUNTIFS(Overall!$C$2:$C$1000,"AMF",Overall!$F$2:$F$1000,"&gt;"&amp;C137)+1)</f>
        <v/>
      </c>
      <c r="B137" s="11" t="str">
        <f aca="false">IFERROR(INDEX(Overall!$B$2:$B$1000,MATCH("AMF|136",Overall!$I$2:$I$1000,0)),"")</f>
        <v/>
      </c>
      <c r="C137" s="19" t="str">
        <f aca="false">IFERROR(INDEX(Overall!$F$2:$F$1000,MATCH("AMF|136",Overall!$I$2:$I$1000,0)),"")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IF(B138="","",COUNTIFS(Overall!$C$2:$C$1000,"AMF",Overall!$F$2:$F$1000,"&gt;"&amp;C138)+1)</f>
        <v/>
      </c>
      <c r="B138" s="11" t="str">
        <f aca="false">IFERROR(INDEX(Overall!$B$2:$B$1000,MATCH("AMF|137",Overall!$I$2:$I$1000,0)),"")</f>
        <v/>
      </c>
      <c r="C138" s="19" t="str">
        <f aca="false">IFERROR(INDEX(Overall!$F$2:$F$1000,MATCH("AMF|137",Overall!$I$2:$I$1000,0)),"")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IF(B139="","",COUNTIFS(Overall!$C$2:$C$1000,"AMF",Overall!$F$2:$F$1000,"&gt;"&amp;C139)+1)</f>
        <v/>
      </c>
      <c r="B139" s="11" t="str">
        <f aca="false">IFERROR(INDEX(Overall!$B$2:$B$1000,MATCH("AMF|138",Overall!$I$2:$I$1000,0)),"")</f>
        <v/>
      </c>
      <c r="C139" s="19" t="str">
        <f aca="false">IFERROR(INDEX(Overall!$F$2:$F$1000,MATCH("AMF|138",Overall!$I$2:$I$1000,0)),"")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IF(B140="","",COUNTIFS(Overall!$C$2:$C$1000,"AMF",Overall!$F$2:$F$1000,"&gt;"&amp;C140)+1)</f>
        <v/>
      </c>
      <c r="B140" s="11" t="str">
        <f aca="false">IFERROR(INDEX(Overall!$B$2:$B$1000,MATCH("AMF|139",Overall!$I$2:$I$1000,0)),"")</f>
        <v/>
      </c>
      <c r="C140" s="19" t="str">
        <f aca="false">IFERROR(INDEX(Overall!$F$2:$F$1000,MATCH("AMF|139",Overall!$I$2:$I$1000,0)),"")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IF(B141="","",COUNTIFS(Overall!$C$2:$C$1000,"AMF",Overall!$F$2:$F$1000,"&gt;"&amp;C141)+1)</f>
        <v/>
      </c>
      <c r="B141" s="11" t="str">
        <f aca="false">IFERROR(INDEX(Overall!$B$2:$B$1000,MATCH("AMF|140",Overall!$I$2:$I$1000,0)),"")</f>
        <v/>
      </c>
      <c r="C141" s="19" t="str">
        <f aca="false">IFERROR(INDEX(Overall!$F$2:$F$1000,MATCH("AMF|140",Overall!$I$2:$I$1000,0)),"")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IF(B142="","",COUNTIFS(Overall!$C$2:$C$1000,"AMF",Overall!$F$2:$F$1000,"&gt;"&amp;C142)+1)</f>
        <v/>
      </c>
      <c r="B142" s="11" t="str">
        <f aca="false">IFERROR(INDEX(Overall!$B$2:$B$1000,MATCH("AMF|141",Overall!$I$2:$I$1000,0)),"")</f>
        <v/>
      </c>
      <c r="C142" s="19" t="str">
        <f aca="false">IFERROR(INDEX(Overall!$F$2:$F$1000,MATCH("AMF|141",Overall!$I$2:$I$1000,0)),"")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IF(B143="","",COUNTIFS(Overall!$C$2:$C$1000,"AMF",Overall!$F$2:$F$1000,"&gt;"&amp;C143)+1)</f>
        <v/>
      </c>
      <c r="B143" s="11" t="str">
        <f aca="false">IFERROR(INDEX(Overall!$B$2:$B$1000,MATCH("AMF|142",Overall!$I$2:$I$1000,0)),"")</f>
        <v/>
      </c>
      <c r="C143" s="19" t="str">
        <f aca="false">IFERROR(INDEX(Overall!$F$2:$F$1000,MATCH("AMF|142",Overall!$I$2:$I$1000,0)),"")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IF(B144="","",COUNTIFS(Overall!$C$2:$C$1000,"AMF",Overall!$F$2:$F$1000,"&gt;"&amp;C144)+1)</f>
        <v/>
      </c>
      <c r="B144" s="11" t="str">
        <f aca="false">IFERROR(INDEX(Overall!$B$2:$B$1000,MATCH("AMF|143",Overall!$I$2:$I$1000,0)),"")</f>
        <v/>
      </c>
      <c r="C144" s="19" t="str">
        <f aca="false">IFERROR(INDEX(Overall!$F$2:$F$1000,MATCH("AMF|143",Overall!$I$2:$I$1000,0)),"")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IF(B145="","",COUNTIFS(Overall!$C$2:$C$1000,"AMF",Overall!$F$2:$F$1000,"&gt;"&amp;C145)+1)</f>
        <v/>
      </c>
      <c r="B145" s="11" t="str">
        <f aca="false">IFERROR(INDEX(Overall!$B$2:$B$1000,MATCH("AMF|144",Overall!$I$2:$I$1000,0)),"")</f>
        <v/>
      </c>
      <c r="C145" s="19" t="str">
        <f aca="false">IFERROR(INDEX(Overall!$F$2:$F$1000,MATCH("AMF|144",Overall!$I$2:$I$1000,0)),"")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IF(B146="","",COUNTIFS(Overall!$C$2:$C$1000,"AMF",Overall!$F$2:$F$1000,"&gt;"&amp;C146)+1)</f>
        <v/>
      </c>
      <c r="B146" s="11" t="str">
        <f aca="false">IFERROR(INDEX(Overall!$B$2:$B$1000,MATCH("AMF|145",Overall!$I$2:$I$1000,0)),"")</f>
        <v/>
      </c>
      <c r="C146" s="19" t="str">
        <f aca="false">IFERROR(INDEX(Overall!$F$2:$F$1000,MATCH("AMF|145",Overall!$I$2:$I$1000,0)),"")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IF(B147="","",COUNTIFS(Overall!$C$2:$C$1000,"AMF",Overall!$F$2:$F$1000,"&gt;"&amp;C147)+1)</f>
        <v/>
      </c>
      <c r="B147" s="11" t="str">
        <f aca="false">IFERROR(INDEX(Overall!$B$2:$B$1000,MATCH("AMF|146",Overall!$I$2:$I$1000,0)),"")</f>
        <v/>
      </c>
      <c r="C147" s="19" t="str">
        <f aca="false">IFERROR(INDEX(Overall!$F$2:$F$1000,MATCH("AMF|146",Overall!$I$2:$I$1000,0)),"")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IF(B148="","",COUNTIFS(Overall!$C$2:$C$1000,"AMF",Overall!$F$2:$F$1000,"&gt;"&amp;C148)+1)</f>
        <v/>
      </c>
      <c r="B148" s="11" t="str">
        <f aca="false">IFERROR(INDEX(Overall!$B$2:$B$1000,MATCH("AMF|147",Overall!$I$2:$I$1000,0)),"")</f>
        <v/>
      </c>
      <c r="C148" s="19" t="str">
        <f aca="false">IFERROR(INDEX(Overall!$F$2:$F$1000,MATCH("AMF|147",Overall!$I$2:$I$1000,0)),"")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IF(B149="","",COUNTIFS(Overall!$C$2:$C$1000,"AMF",Overall!$F$2:$F$1000,"&gt;"&amp;C149)+1)</f>
        <v/>
      </c>
      <c r="B149" s="11" t="str">
        <f aca="false">IFERROR(INDEX(Overall!$B$2:$B$1000,MATCH("AMF|148",Overall!$I$2:$I$1000,0)),"")</f>
        <v/>
      </c>
      <c r="C149" s="19" t="str">
        <f aca="false">IFERROR(INDEX(Overall!$F$2:$F$1000,MATCH("AMF|148",Overall!$I$2:$I$1000,0)),"")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IF(B150="","",COUNTIFS(Overall!$C$2:$C$1000,"AMF",Overall!$F$2:$F$1000,"&gt;"&amp;C150)+1)</f>
        <v/>
      </c>
      <c r="B150" s="11" t="str">
        <f aca="false">IFERROR(INDEX(Overall!$B$2:$B$1000,MATCH("AMF|149",Overall!$I$2:$I$1000,0)),"")</f>
        <v/>
      </c>
      <c r="C150" s="19" t="str">
        <f aca="false">IFERROR(INDEX(Overall!$F$2:$F$1000,MATCH("AMF|149",Overall!$I$2:$I$1000,0)),"")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IF(B151="","",COUNTIFS(Overall!$C$2:$C$1000,"AMF",Overall!$F$2:$F$1000,"&gt;"&amp;C151)+1)</f>
        <v/>
      </c>
      <c r="B151" s="11" t="str">
        <f aca="false">IFERROR(INDEX(Overall!$B$2:$B$1000,MATCH("AMF|150",Overall!$I$2:$I$1000,0)),"")</f>
        <v/>
      </c>
      <c r="C151" s="19" t="str">
        <f aca="false">IFERROR(INDEX(Overall!$F$2:$F$1000,MATCH("AMF|150",Overall!$I$2:$I$1000,0)),"")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D9D9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IF(B2="","",COUNTIFS(Overall!$C$2:$C$1000,"LWF",Overall!$F$2:$F$1000,"&gt;"&amp;C2)+1)</f>
        <v>1</v>
      </c>
      <c r="B2" s="11" t="str">
        <f aca="false">IFERROR(INDEX(Overall!$B$2:$B$1000,MATCH("LWF|1",Overall!$I$2:$I$1000,0)),"")</f>
        <v>Super Totti</v>
      </c>
      <c r="C2" s="19" t="n">
        <f aca="false">IFERROR(INDEX(Overall!$F$2:$F$1000,MATCH("LWF|1",Overall!$I$2:$I$1000,0)),"")</f>
        <v>109</v>
      </c>
    </row>
    <row r="3" customFormat="false" ht="15" hidden="false" customHeight="false" outlineLevel="0" collapsed="false">
      <c r="A3" s="22" t="n">
        <f aca="false">IF(B3="","",COUNTIFS(Overall!$C$2:$C$1000,"LWF",Overall!$F$2:$F$1000,"&gt;"&amp;C3)+1)</f>
        <v>2</v>
      </c>
      <c r="B3" s="11" t="str">
        <f aca="false">IFERROR(INDEX(Overall!$B$2:$B$1000,MATCH("LWF|2",Overall!$I$2:$I$1000,0)),"")</f>
        <v>Frieza</v>
      </c>
      <c r="C3" s="19" t="n">
        <f aca="false">IFERROR(INDEX(Overall!$F$2:$F$1000,MATCH("LWF|2",Overall!$I$2:$I$1000,0)),"")</f>
        <v>103</v>
      </c>
    </row>
    <row r="4" customFormat="false" ht="15" hidden="false" customHeight="false" outlineLevel="0" collapsed="false">
      <c r="A4" s="22" t="n">
        <f aca="false">IF(B4="","",COUNTIFS(Overall!$C$2:$C$1000,"LWF",Overall!$F$2:$F$1000,"&gt;"&amp;C4)+1)</f>
        <v>3</v>
      </c>
      <c r="B4" s="11" t="str">
        <f aca="false">IFERROR(INDEX(Overall!$B$2:$B$1000,MATCH("LWF|3",Overall!$I$2:$I$1000,0)),"")</f>
        <v>Alucard</v>
      </c>
      <c r="C4" s="19" t="n">
        <f aca="false">IFERROR(INDEX(Overall!$F$2:$F$1000,MATCH("LWF|3",Overall!$I$2:$I$1000,0)),"")</f>
        <v>91</v>
      </c>
    </row>
    <row r="5" customFormat="false" ht="15" hidden="false" customHeight="false" outlineLevel="0" collapsed="false">
      <c r="A5" s="22" t="n">
        <f aca="false">IF(B5="","",COUNTIFS(Overall!$C$2:$C$1000,"LWF",Overall!$F$2:$F$1000,"&gt;"&amp;C5)+1)</f>
        <v>4</v>
      </c>
      <c r="B5" s="11" t="str">
        <f aca="false">IFERROR(INDEX(Overall!$B$2:$B$1000,MATCH("LWF|4",Overall!$I$2:$I$1000,0)),"")</f>
        <v>Gervinho Prime</v>
      </c>
      <c r="C5" s="19" t="n">
        <f aca="false">IFERROR(INDEX(Overall!$F$2:$F$1000,MATCH("LWF|4",Overall!$I$2:$I$1000,0)),"")</f>
        <v>89</v>
      </c>
    </row>
    <row r="6" customFormat="false" ht="15" hidden="false" customHeight="false" outlineLevel="0" collapsed="false">
      <c r="A6" s="22" t="n">
        <f aca="false">IF(B6="","",COUNTIFS(Overall!$C$2:$C$1000,"LWF",Overall!$F$2:$F$1000,"&gt;"&amp;C6)+1)</f>
        <v>5</v>
      </c>
      <c r="B6" s="11" t="str">
        <f aca="false">IFERROR(INDEX(Overall!$B$2:$B$1000,MATCH("LWF|5",Overall!$I$2:$I$1000,0)),"")</f>
        <v>Pitbull</v>
      </c>
      <c r="C6" s="19" t="n">
        <f aca="false">IFERROR(INDEX(Overall!$F$2:$F$1000,MATCH("LWF|5",Overall!$I$2:$I$1000,0)),"")</f>
        <v>88</v>
      </c>
    </row>
    <row r="7" customFormat="false" ht="15" hidden="false" customHeight="false" outlineLevel="0" collapsed="false">
      <c r="A7" s="22" t="n">
        <f aca="false">IF(B7="","",COUNTIFS(Overall!$C$2:$C$1000,"LWF",Overall!$F$2:$F$1000,"&gt;"&amp;C7)+1)</f>
        <v>6</v>
      </c>
      <c r="B7" s="11" t="str">
        <f aca="false">IFERROR(INDEX(Overall!$B$2:$B$1000,MATCH("LWF|6",Overall!$I$2:$I$1000,0)),"")</f>
        <v>Killua</v>
      </c>
      <c r="C7" s="19" t="n">
        <f aca="false">IFERROR(INDEX(Overall!$F$2:$F$1000,MATCH("LWF|6",Overall!$I$2:$I$1000,0)),"")</f>
        <v>86</v>
      </c>
    </row>
    <row r="8" customFormat="false" ht="15" hidden="false" customHeight="false" outlineLevel="0" collapsed="false">
      <c r="A8" s="22" t="n">
        <f aca="false">IF(B8="","",COUNTIFS(Overall!$C$2:$C$1000,"LWF",Overall!$F$2:$F$1000,"&gt;"&amp;C8)+1)</f>
        <v>6</v>
      </c>
      <c r="B8" s="11" t="str">
        <f aca="false">IFERROR(INDEX(Overall!$B$2:$B$1000,MATCH("LWF|7",Overall!$I$2:$I$1000,0)),"")</f>
        <v>Torcia umana</v>
      </c>
      <c r="C8" s="19" t="n">
        <f aca="false">IFERROR(INDEX(Overall!$F$2:$F$1000,MATCH("LWF|7",Overall!$I$2:$I$1000,0)),"")</f>
        <v>86</v>
      </c>
    </row>
    <row r="9" customFormat="false" ht="15" hidden="false" customHeight="false" outlineLevel="0" collapsed="false">
      <c r="A9" s="22" t="n">
        <f aca="false">IF(B9="","",COUNTIFS(Overall!$C$2:$C$1000,"LWF",Overall!$F$2:$F$1000,"&gt;"&amp;C9)+1)</f>
        <v>8</v>
      </c>
      <c r="B9" s="11" t="str">
        <f aca="false">IFERROR(INDEX(Overall!$B$2:$B$1000,MATCH("LWF|8",Overall!$I$2:$I$1000,0)),"")</f>
        <v>Burter</v>
      </c>
      <c r="C9" s="19" t="n">
        <f aca="false">IFERROR(INDEX(Overall!$F$2:$F$1000,MATCH("LWF|8",Overall!$I$2:$I$1000,0)),"")</f>
        <v>84</v>
      </c>
    </row>
    <row r="10" customFormat="false" ht="15" hidden="false" customHeight="false" outlineLevel="0" collapsed="false">
      <c r="A10" s="22" t="n">
        <f aca="false">IF(B10="","",COUNTIFS(Overall!$C$2:$C$1000,"LWF",Overall!$F$2:$F$1000,"&gt;"&amp;C10)+1)</f>
        <v>9</v>
      </c>
      <c r="B10" s="11" t="str">
        <f aca="false">IFERROR(INDEX(Overall!$B$2:$B$1000,MATCH("LWF|9",Overall!$I$2:$I$1000,0)),"")</f>
        <v>Crewmate</v>
      </c>
      <c r="C10" s="19" t="n">
        <f aca="false">IFERROR(INDEX(Overall!$F$2:$F$1000,MATCH("LWF|9",Overall!$I$2:$I$1000,0)),"")</f>
        <v>80</v>
      </c>
    </row>
    <row r="11" customFormat="false" ht="15" hidden="false" customHeight="false" outlineLevel="0" collapsed="false">
      <c r="A11" s="22" t="n">
        <f aca="false">IF(B11="","",COUNTIFS(Overall!$C$2:$C$1000,"LWF",Overall!$F$2:$F$1000,"&gt;"&amp;C11)+1)</f>
        <v>10</v>
      </c>
      <c r="B11" s="11" t="str">
        <f aca="false">IFERROR(INDEX(Overall!$B$2:$B$1000,MATCH("LWF|10",Overall!$I$2:$I$1000,0)),"")</f>
        <v>Sora</v>
      </c>
      <c r="C11" s="19" t="n">
        <f aca="false">IFERROR(INDEX(Overall!$F$2:$F$1000,MATCH("LWF|10",Overall!$I$2:$I$1000,0)),"")</f>
        <v>79</v>
      </c>
    </row>
    <row r="12" customFormat="false" ht="15" hidden="false" customHeight="false" outlineLevel="0" collapsed="false">
      <c r="A12" s="22" t="n">
        <f aca="false">IF(B12="","",COUNTIFS(Overall!$C$2:$C$1000,"LWF",Overall!$F$2:$F$1000,"&gt;"&amp;C12)+1)</f>
        <v>11</v>
      </c>
      <c r="B12" s="11" t="str">
        <f aca="false">IFERROR(INDEX(Overall!$B$2:$B$1000,MATCH("LWF|11",Overall!$I$2:$I$1000,0)),"")</f>
        <v>Mugman</v>
      </c>
      <c r="C12" s="19" t="n">
        <f aca="false">IFERROR(INDEX(Overall!$F$2:$F$1000,MATCH("LWF|11",Overall!$I$2:$I$1000,0)),"")</f>
        <v>77</v>
      </c>
    </row>
    <row r="13" customFormat="false" ht="15" hidden="false" customHeight="false" outlineLevel="0" collapsed="false">
      <c r="A13" s="22" t="str">
        <f aca="false">IF(B13="","",COUNTIFS(Overall!$C$2:$C$1000,"LWF",Overall!$F$2:$F$1000,"&gt;"&amp;C13)+1)</f>
        <v/>
      </c>
      <c r="B13" s="11" t="str">
        <f aca="false">IFERROR(INDEX(Overall!$B$2:$B$1000,MATCH("LWF|12",Overall!$I$2:$I$1000,0)),"")</f>
        <v/>
      </c>
      <c r="C13" s="19" t="str">
        <f aca="false">IFERROR(INDEX(Overall!$F$2:$F$1000,MATCH("LWF|12",Overall!$I$2:$I$1000,0)),"")</f>
        <v/>
      </c>
    </row>
    <row r="14" customFormat="false" ht="15" hidden="false" customHeight="false" outlineLevel="0" collapsed="false">
      <c r="A14" s="22" t="str">
        <f aca="false">IF(B14="","",COUNTIFS(Overall!$C$2:$C$1000,"LWF",Overall!$F$2:$F$1000,"&gt;"&amp;C14)+1)</f>
        <v/>
      </c>
      <c r="B14" s="11" t="str">
        <f aca="false">IFERROR(INDEX(Overall!$B$2:$B$1000,MATCH("LWF|13",Overall!$I$2:$I$1000,0)),"")</f>
        <v/>
      </c>
      <c r="C14" s="19" t="str">
        <f aca="false">IFERROR(INDEX(Overall!$F$2:$F$1000,MATCH("LWF|13",Overall!$I$2:$I$1000,0)),"")</f>
        <v/>
      </c>
    </row>
    <row r="15" customFormat="false" ht="15" hidden="false" customHeight="false" outlineLevel="0" collapsed="false">
      <c r="A15" s="22" t="str">
        <f aca="false">IF(B15="","",COUNTIFS(Overall!$C$2:$C$1000,"LWF",Overall!$F$2:$F$1000,"&gt;"&amp;C15)+1)</f>
        <v/>
      </c>
      <c r="B15" s="11" t="str">
        <f aca="false">IFERROR(INDEX(Overall!$B$2:$B$1000,MATCH("LWF|14",Overall!$I$2:$I$1000,0)),"")</f>
        <v/>
      </c>
      <c r="C15" s="19" t="str">
        <f aca="false">IFERROR(INDEX(Overall!$F$2:$F$1000,MATCH("LWF|14",Overall!$I$2:$I$1000,0)),"")</f>
        <v/>
      </c>
    </row>
    <row r="16" customFormat="false" ht="15" hidden="false" customHeight="false" outlineLevel="0" collapsed="false">
      <c r="A16" s="22" t="str">
        <f aca="false">IF(B16="","",COUNTIFS(Overall!$C$2:$C$1000,"LWF",Overall!$F$2:$F$1000,"&gt;"&amp;C16)+1)</f>
        <v/>
      </c>
      <c r="B16" s="11" t="str">
        <f aca="false">IFERROR(INDEX(Overall!$B$2:$B$1000,MATCH("LWF|15",Overall!$I$2:$I$1000,0)),"")</f>
        <v/>
      </c>
      <c r="C16" s="19" t="str">
        <f aca="false">IFERROR(INDEX(Overall!$F$2:$F$1000,MATCH("LWF|15",Overall!$I$2:$I$1000,0)),"")</f>
        <v/>
      </c>
    </row>
    <row r="17" customFormat="false" ht="15" hidden="false" customHeight="false" outlineLevel="0" collapsed="false">
      <c r="A17" s="22" t="str">
        <f aca="false">IF(B17="","",COUNTIFS(Overall!$C$2:$C$1000,"LWF",Overall!$F$2:$F$1000,"&gt;"&amp;C17)+1)</f>
        <v/>
      </c>
      <c r="B17" s="11" t="str">
        <f aca="false">IFERROR(INDEX(Overall!$B$2:$B$1000,MATCH("LWF|16",Overall!$I$2:$I$1000,0)),"")</f>
        <v/>
      </c>
      <c r="C17" s="19" t="str">
        <f aca="false">IFERROR(INDEX(Overall!$F$2:$F$1000,MATCH("LWF|16",Overall!$I$2:$I$1000,0)),"")</f>
        <v/>
      </c>
    </row>
    <row r="18" customFormat="false" ht="15" hidden="false" customHeight="false" outlineLevel="0" collapsed="false">
      <c r="A18" s="22" t="str">
        <f aca="false">IF(B18="","",COUNTIFS(Overall!$C$2:$C$1000,"LWF",Overall!$F$2:$F$1000,"&gt;"&amp;C18)+1)</f>
        <v/>
      </c>
      <c r="B18" s="11" t="str">
        <f aca="false">IFERROR(INDEX(Overall!$B$2:$B$1000,MATCH("LWF|17",Overall!$I$2:$I$1000,0)),"")</f>
        <v/>
      </c>
      <c r="C18" s="19" t="str">
        <f aca="false">IFERROR(INDEX(Overall!$F$2:$F$1000,MATCH("LWF|17",Overall!$I$2:$I$1000,0)),"")</f>
        <v/>
      </c>
    </row>
    <row r="19" customFormat="false" ht="15" hidden="false" customHeight="false" outlineLevel="0" collapsed="false">
      <c r="A19" s="22" t="str">
        <f aca="false">IF(B19="","",COUNTIFS(Overall!$C$2:$C$1000,"LWF",Overall!$F$2:$F$1000,"&gt;"&amp;C19)+1)</f>
        <v/>
      </c>
      <c r="B19" s="11" t="str">
        <f aca="false">IFERROR(INDEX(Overall!$B$2:$B$1000,MATCH("LWF|18",Overall!$I$2:$I$1000,0)),"")</f>
        <v/>
      </c>
      <c r="C19" s="19" t="str">
        <f aca="false">IFERROR(INDEX(Overall!$F$2:$F$1000,MATCH("LWF|18",Overall!$I$2:$I$1000,0)),"")</f>
        <v/>
      </c>
    </row>
    <row r="20" customFormat="false" ht="15" hidden="false" customHeight="false" outlineLevel="0" collapsed="false">
      <c r="A20" s="22" t="str">
        <f aca="false">IF(B20="","",COUNTIFS(Overall!$C$2:$C$1000,"LWF",Overall!$F$2:$F$1000,"&gt;"&amp;C20)+1)</f>
        <v/>
      </c>
      <c r="B20" s="11" t="str">
        <f aca="false">IFERROR(INDEX(Overall!$B$2:$B$1000,MATCH("LWF|19",Overall!$I$2:$I$1000,0)),"")</f>
        <v/>
      </c>
      <c r="C20" s="19" t="str">
        <f aca="false">IFERROR(INDEX(Overall!$F$2:$F$1000,MATCH("LWF|19",Overall!$I$2:$I$1000,0)),"")</f>
        <v/>
      </c>
    </row>
    <row r="21" customFormat="false" ht="15" hidden="false" customHeight="false" outlineLevel="0" collapsed="false">
      <c r="A21" s="22" t="str">
        <f aca="false">IF(B21="","",COUNTIFS(Overall!$C$2:$C$1000,"LWF",Overall!$F$2:$F$1000,"&gt;"&amp;C21)+1)</f>
        <v/>
      </c>
      <c r="B21" s="11" t="str">
        <f aca="false">IFERROR(INDEX(Overall!$B$2:$B$1000,MATCH("LWF|20",Overall!$I$2:$I$1000,0)),"")</f>
        <v/>
      </c>
      <c r="C21" s="19" t="str">
        <f aca="false">IFERROR(INDEX(Overall!$F$2:$F$1000,MATCH("LWF|20",Overall!$I$2:$I$1000,0)),"")</f>
        <v/>
      </c>
    </row>
    <row r="22" customFormat="false" ht="15" hidden="false" customHeight="false" outlineLevel="0" collapsed="false">
      <c r="A22" s="22" t="str">
        <f aca="false">IF(B22="","",COUNTIFS(Overall!$C$2:$C$1000,"LWF",Overall!$F$2:$F$1000,"&gt;"&amp;C22)+1)</f>
        <v/>
      </c>
      <c r="B22" s="11" t="str">
        <f aca="false">IFERROR(INDEX(Overall!$B$2:$B$1000,MATCH("LWF|21",Overall!$I$2:$I$1000,0)),"")</f>
        <v/>
      </c>
      <c r="C22" s="19" t="str">
        <f aca="false">IFERROR(INDEX(Overall!$F$2:$F$1000,MATCH("LWF|21",Overall!$I$2:$I$1000,0)),"")</f>
        <v/>
      </c>
    </row>
    <row r="23" customFormat="false" ht="15" hidden="false" customHeight="false" outlineLevel="0" collapsed="false">
      <c r="A23" s="22" t="str">
        <f aca="false">IF(B23="","",COUNTIFS(Overall!$C$2:$C$1000,"LWF",Overall!$F$2:$F$1000,"&gt;"&amp;C23)+1)</f>
        <v/>
      </c>
      <c r="B23" s="11" t="str">
        <f aca="false">IFERROR(INDEX(Overall!$B$2:$B$1000,MATCH("LWF|22",Overall!$I$2:$I$1000,0)),"")</f>
        <v/>
      </c>
      <c r="C23" s="19" t="str">
        <f aca="false">IFERROR(INDEX(Overall!$F$2:$F$1000,MATCH("LWF|22",Overall!$I$2:$I$1000,0)),"")</f>
        <v/>
      </c>
    </row>
    <row r="24" customFormat="false" ht="15" hidden="false" customHeight="false" outlineLevel="0" collapsed="false">
      <c r="A24" s="22" t="str">
        <f aca="false">IF(B24="","",COUNTIFS(Overall!$C$2:$C$1000,"LWF",Overall!$F$2:$F$1000,"&gt;"&amp;C24)+1)</f>
        <v/>
      </c>
      <c r="B24" s="11" t="str">
        <f aca="false">IFERROR(INDEX(Overall!$B$2:$B$1000,MATCH("LWF|23",Overall!$I$2:$I$1000,0)),"")</f>
        <v/>
      </c>
      <c r="C24" s="19" t="str">
        <f aca="false">IFERROR(INDEX(Overall!$F$2:$F$1000,MATCH("LWF|23",Overall!$I$2:$I$1000,0)),"")</f>
        <v/>
      </c>
    </row>
    <row r="25" customFormat="false" ht="15" hidden="false" customHeight="false" outlineLevel="0" collapsed="false">
      <c r="A25" s="22" t="str">
        <f aca="false">IF(B25="","",COUNTIFS(Overall!$C$2:$C$1000,"LWF",Overall!$F$2:$F$1000,"&gt;"&amp;C25)+1)</f>
        <v/>
      </c>
      <c r="B25" s="11" t="str">
        <f aca="false">IFERROR(INDEX(Overall!$B$2:$B$1000,MATCH("LWF|24",Overall!$I$2:$I$1000,0)),"")</f>
        <v/>
      </c>
      <c r="C25" s="19" t="str">
        <f aca="false">IFERROR(INDEX(Overall!$F$2:$F$1000,MATCH("LWF|24",Overall!$I$2:$I$1000,0)),"")</f>
        <v/>
      </c>
    </row>
    <row r="26" customFormat="false" ht="15" hidden="false" customHeight="false" outlineLevel="0" collapsed="false">
      <c r="A26" s="22" t="str">
        <f aca="false">IF(B26="","",COUNTIFS(Overall!$C$2:$C$1000,"LWF",Overall!$F$2:$F$1000,"&gt;"&amp;C26)+1)</f>
        <v/>
      </c>
      <c r="B26" s="11" t="str">
        <f aca="false">IFERROR(INDEX(Overall!$B$2:$B$1000,MATCH("LWF|25",Overall!$I$2:$I$1000,0)),"")</f>
        <v/>
      </c>
      <c r="C26" s="19" t="str">
        <f aca="false">IFERROR(INDEX(Overall!$F$2:$F$1000,MATCH("LWF|25",Overall!$I$2:$I$1000,0)),"")</f>
        <v/>
      </c>
    </row>
    <row r="27" customFormat="false" ht="15" hidden="false" customHeight="false" outlineLevel="0" collapsed="false">
      <c r="A27" s="22" t="str">
        <f aca="false">IF(B27="","",COUNTIFS(Overall!$C$2:$C$1000,"LWF",Overall!$F$2:$F$1000,"&gt;"&amp;C27)+1)</f>
        <v/>
      </c>
      <c r="B27" s="11" t="str">
        <f aca="false">IFERROR(INDEX(Overall!$B$2:$B$1000,MATCH("LWF|26",Overall!$I$2:$I$1000,0)),"")</f>
        <v/>
      </c>
      <c r="C27" s="19" t="str">
        <f aca="false">IFERROR(INDEX(Overall!$F$2:$F$1000,MATCH("LWF|26",Overall!$I$2:$I$1000,0)),"")</f>
        <v/>
      </c>
    </row>
    <row r="28" customFormat="false" ht="15" hidden="false" customHeight="false" outlineLevel="0" collapsed="false">
      <c r="A28" s="22" t="str">
        <f aca="false">IF(B28="","",COUNTIFS(Overall!$C$2:$C$1000,"LWF",Overall!$F$2:$F$1000,"&gt;"&amp;C28)+1)</f>
        <v/>
      </c>
      <c r="B28" s="11" t="str">
        <f aca="false">IFERROR(INDEX(Overall!$B$2:$B$1000,MATCH("LWF|27",Overall!$I$2:$I$1000,0)),"")</f>
        <v/>
      </c>
      <c r="C28" s="19" t="str">
        <f aca="false">IFERROR(INDEX(Overall!$F$2:$F$1000,MATCH("LWF|27",Overall!$I$2:$I$1000,0)),"")</f>
        <v/>
      </c>
    </row>
    <row r="29" customFormat="false" ht="15" hidden="false" customHeight="false" outlineLevel="0" collapsed="false">
      <c r="A29" s="22" t="str">
        <f aca="false">IF(B29="","",COUNTIFS(Overall!$C$2:$C$1000,"LWF",Overall!$F$2:$F$1000,"&gt;"&amp;C29)+1)</f>
        <v/>
      </c>
      <c r="B29" s="11" t="str">
        <f aca="false">IFERROR(INDEX(Overall!$B$2:$B$1000,MATCH("LWF|28",Overall!$I$2:$I$1000,0)),"")</f>
        <v/>
      </c>
      <c r="C29" s="19" t="str">
        <f aca="false">IFERROR(INDEX(Overall!$F$2:$F$1000,MATCH("LWF|28",Overall!$I$2:$I$1000,0)),"")</f>
        <v/>
      </c>
    </row>
    <row r="30" customFormat="false" ht="15" hidden="false" customHeight="false" outlineLevel="0" collapsed="false">
      <c r="A30" s="22" t="str">
        <f aca="false">IF(B30="","",COUNTIFS(Overall!$C$2:$C$1000,"LWF",Overall!$F$2:$F$1000,"&gt;"&amp;C30)+1)</f>
        <v/>
      </c>
      <c r="B30" s="11" t="str">
        <f aca="false">IFERROR(INDEX(Overall!$B$2:$B$1000,MATCH("LWF|29",Overall!$I$2:$I$1000,0)),"")</f>
        <v/>
      </c>
      <c r="C30" s="19" t="str">
        <f aca="false">IFERROR(INDEX(Overall!$F$2:$F$1000,MATCH("LWF|29",Overall!$I$2:$I$1000,0)),"")</f>
        <v/>
      </c>
    </row>
    <row r="31" customFormat="false" ht="15" hidden="false" customHeight="false" outlineLevel="0" collapsed="false">
      <c r="A31" s="22" t="str">
        <f aca="false">IF(B31="","",COUNTIFS(Overall!$C$2:$C$1000,"LWF",Overall!$F$2:$F$1000,"&gt;"&amp;C31)+1)</f>
        <v/>
      </c>
      <c r="B31" s="11" t="str">
        <f aca="false">IFERROR(INDEX(Overall!$B$2:$B$1000,MATCH("LWF|30",Overall!$I$2:$I$1000,0)),"")</f>
        <v/>
      </c>
      <c r="C31" s="19" t="str">
        <f aca="false">IFERROR(INDEX(Overall!$F$2:$F$1000,MATCH("LWF|30",Overall!$I$2:$I$1000,0)),"")</f>
        <v/>
      </c>
    </row>
    <row r="32" customFormat="false" ht="15" hidden="false" customHeight="false" outlineLevel="0" collapsed="false">
      <c r="A32" s="22" t="str">
        <f aca="false">IF(B32="","",COUNTIFS(Overall!$C$2:$C$1000,"LWF",Overall!$F$2:$F$1000,"&gt;"&amp;C32)+1)</f>
        <v/>
      </c>
      <c r="B32" s="11" t="str">
        <f aca="false">IFERROR(INDEX(Overall!$B$2:$B$1000,MATCH("LWF|31",Overall!$I$2:$I$1000,0)),"")</f>
        <v/>
      </c>
      <c r="C32" s="19" t="str">
        <f aca="false">IFERROR(INDEX(Overall!$F$2:$F$1000,MATCH("LWF|31",Overall!$I$2:$I$1000,0)),"")</f>
        <v/>
      </c>
    </row>
    <row r="33" customFormat="false" ht="15" hidden="false" customHeight="false" outlineLevel="0" collapsed="false">
      <c r="A33" s="22" t="str">
        <f aca="false">IF(B33="","",COUNTIFS(Overall!$C$2:$C$1000,"LWF",Overall!$F$2:$F$1000,"&gt;"&amp;C33)+1)</f>
        <v/>
      </c>
      <c r="B33" s="11" t="str">
        <f aca="false">IFERROR(INDEX(Overall!$B$2:$B$1000,MATCH("LWF|32",Overall!$I$2:$I$1000,0)),"")</f>
        <v/>
      </c>
      <c r="C33" s="19" t="str">
        <f aca="false">IFERROR(INDEX(Overall!$F$2:$F$1000,MATCH("LWF|32",Overall!$I$2:$I$1000,0)),"")</f>
        <v/>
      </c>
    </row>
    <row r="34" customFormat="false" ht="15" hidden="false" customHeight="false" outlineLevel="0" collapsed="false">
      <c r="A34" s="22" t="str">
        <f aca="false">IF(B34="","",COUNTIFS(Overall!$C$2:$C$1000,"LWF",Overall!$F$2:$F$1000,"&gt;"&amp;C34)+1)</f>
        <v/>
      </c>
      <c r="B34" s="11" t="str">
        <f aca="false">IFERROR(INDEX(Overall!$B$2:$B$1000,MATCH("LWF|33",Overall!$I$2:$I$1000,0)),"")</f>
        <v/>
      </c>
      <c r="C34" s="19" t="str">
        <f aca="false">IFERROR(INDEX(Overall!$F$2:$F$1000,MATCH("LWF|33",Overall!$I$2:$I$1000,0)),"")</f>
        <v/>
      </c>
    </row>
    <row r="35" customFormat="false" ht="15" hidden="false" customHeight="false" outlineLevel="0" collapsed="false">
      <c r="A35" s="22" t="str">
        <f aca="false">IF(B35="","",COUNTIFS(Overall!$C$2:$C$1000,"LWF",Overall!$F$2:$F$1000,"&gt;"&amp;C35)+1)</f>
        <v/>
      </c>
      <c r="B35" s="11" t="str">
        <f aca="false">IFERROR(INDEX(Overall!$B$2:$B$1000,MATCH("LWF|34",Overall!$I$2:$I$1000,0)),"")</f>
        <v/>
      </c>
      <c r="C35" s="19" t="str">
        <f aca="false">IFERROR(INDEX(Overall!$F$2:$F$1000,MATCH("LWF|34",Overall!$I$2:$I$1000,0)),"")</f>
        <v/>
      </c>
    </row>
    <row r="36" customFormat="false" ht="15" hidden="false" customHeight="false" outlineLevel="0" collapsed="false">
      <c r="A36" s="22" t="str">
        <f aca="false">IF(B36="","",COUNTIFS(Overall!$C$2:$C$1000,"LWF",Overall!$F$2:$F$1000,"&gt;"&amp;C36)+1)</f>
        <v/>
      </c>
      <c r="B36" s="11" t="str">
        <f aca="false">IFERROR(INDEX(Overall!$B$2:$B$1000,MATCH("LWF|35",Overall!$I$2:$I$1000,0)),"")</f>
        <v/>
      </c>
      <c r="C36" s="19" t="str">
        <f aca="false">IFERROR(INDEX(Overall!$F$2:$F$1000,MATCH("LWF|35",Overall!$I$2:$I$1000,0)),"")</f>
        <v/>
      </c>
    </row>
    <row r="37" customFormat="false" ht="15" hidden="false" customHeight="false" outlineLevel="0" collapsed="false">
      <c r="A37" s="22" t="str">
        <f aca="false">IF(B37="","",COUNTIFS(Overall!$C$2:$C$1000,"LWF",Overall!$F$2:$F$1000,"&gt;"&amp;C37)+1)</f>
        <v/>
      </c>
      <c r="B37" s="11" t="str">
        <f aca="false">IFERROR(INDEX(Overall!$B$2:$B$1000,MATCH("LWF|36",Overall!$I$2:$I$1000,0)),"")</f>
        <v/>
      </c>
      <c r="C37" s="19" t="str">
        <f aca="false">IFERROR(INDEX(Overall!$F$2:$F$1000,MATCH("LWF|36",Overall!$I$2:$I$1000,0)),"")</f>
        <v/>
      </c>
    </row>
    <row r="38" customFormat="false" ht="15" hidden="false" customHeight="false" outlineLevel="0" collapsed="false">
      <c r="A38" s="22" t="str">
        <f aca="false">IF(B38="","",COUNTIFS(Overall!$C$2:$C$1000,"LWF",Overall!$F$2:$F$1000,"&gt;"&amp;C38)+1)</f>
        <v/>
      </c>
      <c r="B38" s="11" t="str">
        <f aca="false">IFERROR(INDEX(Overall!$B$2:$B$1000,MATCH("LWF|37",Overall!$I$2:$I$1000,0)),"")</f>
        <v/>
      </c>
      <c r="C38" s="19" t="str">
        <f aca="false">IFERROR(INDEX(Overall!$F$2:$F$1000,MATCH("LWF|37",Overall!$I$2:$I$1000,0)),"")</f>
        <v/>
      </c>
    </row>
    <row r="39" customFormat="false" ht="15" hidden="false" customHeight="false" outlineLevel="0" collapsed="false">
      <c r="A39" s="22" t="str">
        <f aca="false">IF(B39="","",COUNTIFS(Overall!$C$2:$C$1000,"LWF",Overall!$F$2:$F$1000,"&gt;"&amp;C39)+1)</f>
        <v/>
      </c>
      <c r="B39" s="11" t="str">
        <f aca="false">IFERROR(INDEX(Overall!$B$2:$B$1000,MATCH("LWF|38",Overall!$I$2:$I$1000,0)),"")</f>
        <v/>
      </c>
      <c r="C39" s="19" t="str">
        <f aca="false">IFERROR(INDEX(Overall!$F$2:$F$1000,MATCH("LWF|38",Overall!$I$2:$I$1000,0)),"")</f>
        <v/>
      </c>
    </row>
    <row r="40" customFormat="false" ht="15" hidden="false" customHeight="false" outlineLevel="0" collapsed="false">
      <c r="A40" s="22" t="str">
        <f aca="false">IF(B40="","",COUNTIFS(Overall!$C$2:$C$1000,"LWF",Overall!$F$2:$F$1000,"&gt;"&amp;C40)+1)</f>
        <v/>
      </c>
      <c r="B40" s="11" t="str">
        <f aca="false">IFERROR(INDEX(Overall!$B$2:$B$1000,MATCH("LWF|39",Overall!$I$2:$I$1000,0)),"")</f>
        <v/>
      </c>
      <c r="C40" s="19" t="str">
        <f aca="false">IFERROR(INDEX(Overall!$F$2:$F$1000,MATCH("LWF|39",Overall!$I$2:$I$1000,0)),"")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IF(B41="","",COUNTIFS(Overall!$C$2:$C$1000,"LWF",Overall!$F$2:$F$1000,"&gt;"&amp;C41)+1)</f>
        <v/>
      </c>
      <c r="B41" s="11" t="str">
        <f aca="false">IFERROR(INDEX(Overall!$B$2:$B$1000,MATCH("LWF|40",Overall!$I$2:$I$1000,0)),"")</f>
        <v/>
      </c>
      <c r="C41" s="19" t="str">
        <f aca="false">IFERROR(INDEX(Overall!$F$2:$F$1000,MATCH("LWF|40",Overall!$I$2:$I$1000,0)),"")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IF(B42="","",COUNTIFS(Overall!$C$2:$C$1000,"LWF",Overall!$F$2:$F$1000,"&gt;"&amp;C42)+1)</f>
        <v/>
      </c>
      <c r="B42" s="11" t="str">
        <f aca="false">IFERROR(INDEX(Overall!$B$2:$B$1000,MATCH("LWF|41",Overall!$I$2:$I$1000,0)),"")</f>
        <v/>
      </c>
      <c r="C42" s="19" t="str">
        <f aca="false">IFERROR(INDEX(Overall!$F$2:$F$1000,MATCH("LWF|41",Overall!$I$2:$I$1000,0)),"")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IF(B43="","",COUNTIFS(Overall!$C$2:$C$1000,"LWF",Overall!$F$2:$F$1000,"&gt;"&amp;C43)+1)</f>
        <v/>
      </c>
      <c r="B43" s="11" t="str">
        <f aca="false">IFERROR(INDEX(Overall!$B$2:$B$1000,MATCH("LWF|42",Overall!$I$2:$I$1000,0)),"")</f>
        <v/>
      </c>
      <c r="C43" s="19" t="str">
        <f aca="false">IFERROR(INDEX(Overall!$F$2:$F$1000,MATCH("LWF|42",Overall!$I$2:$I$1000,0)),"")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IF(B44="","",COUNTIFS(Overall!$C$2:$C$1000,"LWF",Overall!$F$2:$F$1000,"&gt;"&amp;C44)+1)</f>
        <v/>
      </c>
      <c r="B44" s="11" t="str">
        <f aca="false">IFERROR(INDEX(Overall!$B$2:$B$1000,MATCH("LWF|43",Overall!$I$2:$I$1000,0)),"")</f>
        <v/>
      </c>
      <c r="C44" s="19" t="str">
        <f aca="false">IFERROR(INDEX(Overall!$F$2:$F$1000,MATCH("LWF|43",Overall!$I$2:$I$1000,0)),"")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IF(B45="","",COUNTIFS(Overall!$C$2:$C$1000,"LWF",Overall!$F$2:$F$1000,"&gt;"&amp;C45)+1)</f>
        <v/>
      </c>
      <c r="B45" s="11" t="str">
        <f aca="false">IFERROR(INDEX(Overall!$B$2:$B$1000,MATCH("LWF|44",Overall!$I$2:$I$1000,0)),"")</f>
        <v/>
      </c>
      <c r="C45" s="19" t="str">
        <f aca="false">IFERROR(INDEX(Overall!$F$2:$F$1000,MATCH("LWF|44",Overall!$I$2:$I$1000,0)),"")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IF(B46="","",COUNTIFS(Overall!$C$2:$C$1000,"LWF",Overall!$F$2:$F$1000,"&gt;"&amp;C46)+1)</f>
        <v/>
      </c>
      <c r="B46" s="11" t="str">
        <f aca="false">IFERROR(INDEX(Overall!$B$2:$B$1000,MATCH("LWF|45",Overall!$I$2:$I$1000,0)),"")</f>
        <v/>
      </c>
      <c r="C46" s="19" t="str">
        <f aca="false">IFERROR(INDEX(Overall!$F$2:$F$1000,MATCH("LWF|45",Overall!$I$2:$I$1000,0)),"")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IF(B47="","",COUNTIFS(Overall!$C$2:$C$1000,"LWF",Overall!$F$2:$F$1000,"&gt;"&amp;C47)+1)</f>
        <v/>
      </c>
      <c r="B47" s="11" t="str">
        <f aca="false">IFERROR(INDEX(Overall!$B$2:$B$1000,MATCH("LWF|46",Overall!$I$2:$I$1000,0)),"")</f>
        <v/>
      </c>
      <c r="C47" s="19" t="str">
        <f aca="false">IFERROR(INDEX(Overall!$F$2:$F$1000,MATCH("LWF|46",Overall!$I$2:$I$1000,0)),"")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IF(B48="","",COUNTIFS(Overall!$C$2:$C$1000,"LWF",Overall!$F$2:$F$1000,"&gt;"&amp;C48)+1)</f>
        <v/>
      </c>
      <c r="B48" s="11" t="str">
        <f aca="false">IFERROR(INDEX(Overall!$B$2:$B$1000,MATCH("LWF|47",Overall!$I$2:$I$1000,0)),"")</f>
        <v/>
      </c>
      <c r="C48" s="19" t="str">
        <f aca="false">IFERROR(INDEX(Overall!$F$2:$F$1000,MATCH("LWF|47",Overall!$I$2:$I$1000,0)),"")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IF(B49="","",COUNTIFS(Overall!$C$2:$C$1000,"LWF",Overall!$F$2:$F$1000,"&gt;"&amp;C49)+1)</f>
        <v/>
      </c>
      <c r="B49" s="11" t="str">
        <f aca="false">IFERROR(INDEX(Overall!$B$2:$B$1000,MATCH("LWF|48",Overall!$I$2:$I$1000,0)),"")</f>
        <v/>
      </c>
      <c r="C49" s="19" t="str">
        <f aca="false">IFERROR(INDEX(Overall!$F$2:$F$1000,MATCH("LWF|48",Overall!$I$2:$I$1000,0)),"")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IF(B50="","",COUNTIFS(Overall!$C$2:$C$1000,"LWF",Overall!$F$2:$F$1000,"&gt;"&amp;C50)+1)</f>
        <v/>
      </c>
      <c r="B50" s="11" t="str">
        <f aca="false">IFERROR(INDEX(Overall!$B$2:$B$1000,MATCH("LWF|49",Overall!$I$2:$I$1000,0)),"")</f>
        <v/>
      </c>
      <c r="C50" s="19" t="str">
        <f aca="false">IFERROR(INDEX(Overall!$F$2:$F$1000,MATCH("LWF|49",Overall!$I$2:$I$1000,0)),"")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IF(B51="","",COUNTIFS(Overall!$C$2:$C$1000,"LWF",Overall!$F$2:$F$1000,"&gt;"&amp;C51)+1)</f>
        <v/>
      </c>
      <c r="B51" s="11" t="str">
        <f aca="false">IFERROR(INDEX(Overall!$B$2:$B$1000,MATCH("LWF|50",Overall!$I$2:$I$1000,0)),"")</f>
        <v/>
      </c>
      <c r="C51" s="19" t="str">
        <f aca="false">IFERROR(INDEX(Overall!$F$2:$F$1000,MATCH("LWF|50",Overall!$I$2:$I$1000,0)),"")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IF(B52="","",COUNTIFS(Overall!$C$2:$C$1000,"LWF",Overall!$F$2:$F$1000,"&gt;"&amp;C52)+1)</f>
        <v/>
      </c>
      <c r="B52" s="11" t="str">
        <f aca="false">IFERROR(INDEX(Overall!$B$2:$B$1000,MATCH("LWF|51",Overall!$I$2:$I$1000,0)),"")</f>
        <v/>
      </c>
      <c r="C52" s="19" t="str">
        <f aca="false">IFERROR(INDEX(Overall!$F$2:$F$1000,MATCH("LWF|51",Overall!$I$2:$I$1000,0)),"")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IF(B53="","",COUNTIFS(Overall!$C$2:$C$1000,"LWF",Overall!$F$2:$F$1000,"&gt;"&amp;C53)+1)</f>
        <v/>
      </c>
      <c r="B53" s="11" t="str">
        <f aca="false">IFERROR(INDEX(Overall!$B$2:$B$1000,MATCH("LWF|52",Overall!$I$2:$I$1000,0)),"")</f>
        <v/>
      </c>
      <c r="C53" s="19" t="str">
        <f aca="false">IFERROR(INDEX(Overall!$F$2:$F$1000,MATCH("LWF|52",Overall!$I$2:$I$1000,0)),"")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IF(B54="","",COUNTIFS(Overall!$C$2:$C$1000,"LWF",Overall!$F$2:$F$1000,"&gt;"&amp;C54)+1)</f>
        <v/>
      </c>
      <c r="B54" s="11" t="str">
        <f aca="false">IFERROR(INDEX(Overall!$B$2:$B$1000,MATCH("LWF|53",Overall!$I$2:$I$1000,0)),"")</f>
        <v/>
      </c>
      <c r="C54" s="19" t="str">
        <f aca="false">IFERROR(INDEX(Overall!$F$2:$F$1000,MATCH("LWF|53",Overall!$I$2:$I$1000,0)),"")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IF(B55="","",COUNTIFS(Overall!$C$2:$C$1000,"LWF",Overall!$F$2:$F$1000,"&gt;"&amp;C55)+1)</f>
        <v/>
      </c>
      <c r="B55" s="11" t="str">
        <f aca="false">IFERROR(INDEX(Overall!$B$2:$B$1000,MATCH("LWF|54",Overall!$I$2:$I$1000,0)),"")</f>
        <v/>
      </c>
      <c r="C55" s="19" t="str">
        <f aca="false">IFERROR(INDEX(Overall!$F$2:$F$1000,MATCH("LWF|54",Overall!$I$2:$I$1000,0)),"")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IF(B56="","",COUNTIFS(Overall!$C$2:$C$1000,"LWF",Overall!$F$2:$F$1000,"&gt;"&amp;C56)+1)</f>
        <v/>
      </c>
      <c r="B56" s="11" t="str">
        <f aca="false">IFERROR(INDEX(Overall!$B$2:$B$1000,MATCH("LWF|55",Overall!$I$2:$I$1000,0)),"")</f>
        <v/>
      </c>
      <c r="C56" s="19" t="str">
        <f aca="false">IFERROR(INDEX(Overall!$F$2:$F$1000,MATCH("LWF|55",Overall!$I$2:$I$1000,0)),"")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IF(B57="","",COUNTIFS(Overall!$C$2:$C$1000,"LWF",Overall!$F$2:$F$1000,"&gt;"&amp;C57)+1)</f>
        <v/>
      </c>
      <c r="B57" s="11" t="str">
        <f aca="false">IFERROR(INDEX(Overall!$B$2:$B$1000,MATCH("LWF|56",Overall!$I$2:$I$1000,0)),"")</f>
        <v/>
      </c>
      <c r="C57" s="19" t="str">
        <f aca="false">IFERROR(INDEX(Overall!$F$2:$F$1000,MATCH("LWF|56",Overall!$I$2:$I$1000,0)),"")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IF(B58="","",COUNTIFS(Overall!$C$2:$C$1000,"LWF",Overall!$F$2:$F$1000,"&gt;"&amp;C58)+1)</f>
        <v/>
      </c>
      <c r="B58" s="11" t="str">
        <f aca="false">IFERROR(INDEX(Overall!$B$2:$B$1000,MATCH("LWF|57",Overall!$I$2:$I$1000,0)),"")</f>
        <v/>
      </c>
      <c r="C58" s="19" t="str">
        <f aca="false">IFERROR(INDEX(Overall!$F$2:$F$1000,MATCH("LWF|57",Overall!$I$2:$I$1000,0)),"")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IF(B59="","",COUNTIFS(Overall!$C$2:$C$1000,"LWF",Overall!$F$2:$F$1000,"&gt;"&amp;C59)+1)</f>
        <v/>
      </c>
      <c r="B59" s="11" t="str">
        <f aca="false">IFERROR(INDEX(Overall!$B$2:$B$1000,MATCH("LWF|58",Overall!$I$2:$I$1000,0)),"")</f>
        <v/>
      </c>
      <c r="C59" s="19" t="str">
        <f aca="false">IFERROR(INDEX(Overall!$F$2:$F$1000,MATCH("LWF|58",Overall!$I$2:$I$1000,0)),"")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IF(B60="","",COUNTIFS(Overall!$C$2:$C$1000,"LWF",Overall!$F$2:$F$1000,"&gt;"&amp;C60)+1)</f>
        <v/>
      </c>
      <c r="B60" s="11" t="str">
        <f aca="false">IFERROR(INDEX(Overall!$B$2:$B$1000,MATCH("LWF|59",Overall!$I$2:$I$1000,0)),"")</f>
        <v/>
      </c>
      <c r="C60" s="19" t="str">
        <f aca="false">IFERROR(INDEX(Overall!$F$2:$F$1000,MATCH("LWF|59",Overall!$I$2:$I$1000,0)),"")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IF(B61="","",COUNTIFS(Overall!$C$2:$C$1000,"LWF",Overall!$F$2:$F$1000,"&gt;"&amp;C61)+1)</f>
        <v/>
      </c>
      <c r="B61" s="11" t="str">
        <f aca="false">IFERROR(INDEX(Overall!$B$2:$B$1000,MATCH("LWF|60",Overall!$I$2:$I$1000,0)),"")</f>
        <v/>
      </c>
      <c r="C61" s="19" t="str">
        <f aca="false">IFERROR(INDEX(Overall!$F$2:$F$1000,MATCH("LWF|60",Overall!$I$2:$I$1000,0)),"")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IF(B62="","",COUNTIFS(Overall!$C$2:$C$1000,"LWF",Overall!$F$2:$F$1000,"&gt;"&amp;C62)+1)</f>
        <v/>
      </c>
      <c r="B62" s="11" t="str">
        <f aca="false">IFERROR(INDEX(Overall!$B$2:$B$1000,MATCH("LWF|61",Overall!$I$2:$I$1000,0)),"")</f>
        <v/>
      </c>
      <c r="C62" s="19" t="str">
        <f aca="false">IFERROR(INDEX(Overall!$F$2:$F$1000,MATCH("LWF|61",Overall!$I$2:$I$1000,0)),"")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IF(B63="","",COUNTIFS(Overall!$C$2:$C$1000,"LWF",Overall!$F$2:$F$1000,"&gt;"&amp;C63)+1)</f>
        <v/>
      </c>
      <c r="B63" s="11" t="str">
        <f aca="false">IFERROR(INDEX(Overall!$B$2:$B$1000,MATCH("LWF|62",Overall!$I$2:$I$1000,0)),"")</f>
        <v/>
      </c>
      <c r="C63" s="19" t="str">
        <f aca="false">IFERROR(INDEX(Overall!$F$2:$F$1000,MATCH("LWF|62",Overall!$I$2:$I$1000,0)),"")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IF(B64="","",COUNTIFS(Overall!$C$2:$C$1000,"LWF",Overall!$F$2:$F$1000,"&gt;"&amp;C64)+1)</f>
        <v/>
      </c>
      <c r="B64" s="11" t="str">
        <f aca="false">IFERROR(INDEX(Overall!$B$2:$B$1000,MATCH("LWF|63",Overall!$I$2:$I$1000,0)),"")</f>
        <v/>
      </c>
      <c r="C64" s="19" t="str">
        <f aca="false">IFERROR(INDEX(Overall!$F$2:$F$1000,MATCH("LWF|63",Overall!$I$2:$I$1000,0)),"")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IF(B65="","",COUNTIFS(Overall!$C$2:$C$1000,"LWF",Overall!$F$2:$F$1000,"&gt;"&amp;C65)+1)</f>
        <v/>
      </c>
      <c r="B65" s="11" t="str">
        <f aca="false">IFERROR(INDEX(Overall!$B$2:$B$1000,MATCH("LWF|64",Overall!$I$2:$I$1000,0)),"")</f>
        <v/>
      </c>
      <c r="C65" s="19" t="str">
        <f aca="false">IFERROR(INDEX(Overall!$F$2:$F$1000,MATCH("LWF|64",Overall!$I$2:$I$1000,0)),"")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IF(B66="","",COUNTIFS(Overall!$C$2:$C$1000,"LWF",Overall!$F$2:$F$1000,"&gt;"&amp;C66)+1)</f>
        <v/>
      </c>
      <c r="B66" s="11" t="str">
        <f aca="false">IFERROR(INDEX(Overall!$B$2:$B$1000,MATCH("LWF|65",Overall!$I$2:$I$1000,0)),"")</f>
        <v/>
      </c>
      <c r="C66" s="19" t="str">
        <f aca="false">IFERROR(INDEX(Overall!$F$2:$F$1000,MATCH("LWF|65",Overall!$I$2:$I$1000,0)),"")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IF(B67="","",COUNTIFS(Overall!$C$2:$C$1000,"LWF",Overall!$F$2:$F$1000,"&gt;"&amp;C67)+1)</f>
        <v/>
      </c>
      <c r="B67" s="11" t="str">
        <f aca="false">IFERROR(INDEX(Overall!$B$2:$B$1000,MATCH("LWF|66",Overall!$I$2:$I$1000,0)),"")</f>
        <v/>
      </c>
      <c r="C67" s="19" t="str">
        <f aca="false">IFERROR(INDEX(Overall!$F$2:$F$1000,MATCH("LWF|66",Overall!$I$2:$I$1000,0)),"")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IF(B68="","",COUNTIFS(Overall!$C$2:$C$1000,"LWF",Overall!$F$2:$F$1000,"&gt;"&amp;C68)+1)</f>
        <v/>
      </c>
      <c r="B68" s="11" t="str">
        <f aca="false">IFERROR(INDEX(Overall!$B$2:$B$1000,MATCH("LWF|67",Overall!$I$2:$I$1000,0)),"")</f>
        <v/>
      </c>
      <c r="C68" s="19" t="str">
        <f aca="false">IFERROR(INDEX(Overall!$F$2:$F$1000,MATCH("LWF|67",Overall!$I$2:$I$1000,0)),"")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IF(B69="","",COUNTIFS(Overall!$C$2:$C$1000,"LWF",Overall!$F$2:$F$1000,"&gt;"&amp;C69)+1)</f>
        <v/>
      </c>
      <c r="B69" s="11" t="str">
        <f aca="false">IFERROR(INDEX(Overall!$B$2:$B$1000,MATCH("LWF|68",Overall!$I$2:$I$1000,0)),"")</f>
        <v/>
      </c>
      <c r="C69" s="19" t="str">
        <f aca="false">IFERROR(INDEX(Overall!$F$2:$F$1000,MATCH("LWF|68",Overall!$I$2:$I$1000,0)),"")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IF(B70="","",COUNTIFS(Overall!$C$2:$C$1000,"LWF",Overall!$F$2:$F$1000,"&gt;"&amp;C70)+1)</f>
        <v/>
      </c>
      <c r="B70" s="11" t="str">
        <f aca="false">IFERROR(INDEX(Overall!$B$2:$B$1000,MATCH("LWF|69",Overall!$I$2:$I$1000,0)),"")</f>
        <v/>
      </c>
      <c r="C70" s="19" t="str">
        <f aca="false">IFERROR(INDEX(Overall!$F$2:$F$1000,MATCH("LWF|69",Overall!$I$2:$I$1000,0)),"")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IF(B71="","",COUNTIFS(Overall!$C$2:$C$1000,"LWF",Overall!$F$2:$F$1000,"&gt;"&amp;C71)+1)</f>
        <v/>
      </c>
      <c r="B71" s="11" t="str">
        <f aca="false">IFERROR(INDEX(Overall!$B$2:$B$1000,MATCH("LWF|70",Overall!$I$2:$I$1000,0)),"")</f>
        <v/>
      </c>
      <c r="C71" s="19" t="str">
        <f aca="false">IFERROR(INDEX(Overall!$F$2:$F$1000,MATCH("LWF|70",Overall!$I$2:$I$1000,0)),"")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IF(B72="","",COUNTIFS(Overall!$C$2:$C$1000,"LWF",Overall!$F$2:$F$1000,"&gt;"&amp;C72)+1)</f>
        <v/>
      </c>
      <c r="B72" s="11" t="str">
        <f aca="false">IFERROR(INDEX(Overall!$B$2:$B$1000,MATCH("LWF|71",Overall!$I$2:$I$1000,0)),"")</f>
        <v/>
      </c>
      <c r="C72" s="19" t="str">
        <f aca="false">IFERROR(INDEX(Overall!$F$2:$F$1000,MATCH("LWF|71",Overall!$I$2:$I$1000,0)),"")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IF(B73="","",COUNTIFS(Overall!$C$2:$C$1000,"LWF",Overall!$F$2:$F$1000,"&gt;"&amp;C73)+1)</f>
        <v/>
      </c>
      <c r="B73" s="11" t="str">
        <f aca="false">IFERROR(INDEX(Overall!$B$2:$B$1000,MATCH("LWF|72",Overall!$I$2:$I$1000,0)),"")</f>
        <v/>
      </c>
      <c r="C73" s="19" t="str">
        <f aca="false">IFERROR(INDEX(Overall!$F$2:$F$1000,MATCH("LWF|72",Overall!$I$2:$I$1000,0)),"")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IF(B74="","",COUNTIFS(Overall!$C$2:$C$1000,"LWF",Overall!$F$2:$F$1000,"&gt;"&amp;C74)+1)</f>
        <v/>
      </c>
      <c r="B74" s="11" t="str">
        <f aca="false">IFERROR(INDEX(Overall!$B$2:$B$1000,MATCH("LWF|73",Overall!$I$2:$I$1000,0)),"")</f>
        <v/>
      </c>
      <c r="C74" s="19" t="str">
        <f aca="false">IFERROR(INDEX(Overall!$F$2:$F$1000,MATCH("LWF|73",Overall!$I$2:$I$1000,0)),"")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IF(B75="","",COUNTIFS(Overall!$C$2:$C$1000,"LWF",Overall!$F$2:$F$1000,"&gt;"&amp;C75)+1)</f>
        <v/>
      </c>
      <c r="B75" s="11" t="str">
        <f aca="false">IFERROR(INDEX(Overall!$B$2:$B$1000,MATCH("LWF|74",Overall!$I$2:$I$1000,0)),"")</f>
        <v/>
      </c>
      <c r="C75" s="19" t="str">
        <f aca="false">IFERROR(INDEX(Overall!$F$2:$F$1000,MATCH("LWF|74",Overall!$I$2:$I$1000,0)),"")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IF(B76="","",COUNTIFS(Overall!$C$2:$C$1000,"LWF",Overall!$F$2:$F$1000,"&gt;"&amp;C76)+1)</f>
        <v/>
      </c>
      <c r="B76" s="11" t="str">
        <f aca="false">IFERROR(INDEX(Overall!$B$2:$B$1000,MATCH("LWF|75",Overall!$I$2:$I$1000,0)),"")</f>
        <v/>
      </c>
      <c r="C76" s="19" t="str">
        <f aca="false">IFERROR(INDEX(Overall!$F$2:$F$1000,MATCH("LWF|75",Overall!$I$2:$I$1000,0)),"")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IF(B77="","",COUNTIFS(Overall!$C$2:$C$1000,"LWF",Overall!$F$2:$F$1000,"&gt;"&amp;C77)+1)</f>
        <v/>
      </c>
      <c r="B77" s="11" t="str">
        <f aca="false">IFERROR(INDEX(Overall!$B$2:$B$1000,MATCH("LWF|76",Overall!$I$2:$I$1000,0)),"")</f>
        <v/>
      </c>
      <c r="C77" s="19" t="str">
        <f aca="false">IFERROR(INDEX(Overall!$F$2:$F$1000,MATCH("LWF|76",Overall!$I$2:$I$1000,0)),"")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IF(B78="","",COUNTIFS(Overall!$C$2:$C$1000,"LWF",Overall!$F$2:$F$1000,"&gt;"&amp;C78)+1)</f>
        <v/>
      </c>
      <c r="B78" s="11" t="str">
        <f aca="false">IFERROR(INDEX(Overall!$B$2:$B$1000,MATCH("LWF|77",Overall!$I$2:$I$1000,0)),"")</f>
        <v/>
      </c>
      <c r="C78" s="19" t="str">
        <f aca="false">IFERROR(INDEX(Overall!$F$2:$F$1000,MATCH("LWF|77",Overall!$I$2:$I$1000,0)),"")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IF(B79="","",COUNTIFS(Overall!$C$2:$C$1000,"LWF",Overall!$F$2:$F$1000,"&gt;"&amp;C79)+1)</f>
        <v/>
      </c>
      <c r="B79" s="11" t="str">
        <f aca="false">IFERROR(INDEX(Overall!$B$2:$B$1000,MATCH("LWF|78",Overall!$I$2:$I$1000,0)),"")</f>
        <v/>
      </c>
      <c r="C79" s="19" t="str">
        <f aca="false">IFERROR(INDEX(Overall!$F$2:$F$1000,MATCH("LWF|78",Overall!$I$2:$I$1000,0)),"")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IF(B80="","",COUNTIFS(Overall!$C$2:$C$1000,"LWF",Overall!$F$2:$F$1000,"&gt;"&amp;C80)+1)</f>
        <v/>
      </c>
      <c r="B80" s="11" t="str">
        <f aca="false">IFERROR(INDEX(Overall!$B$2:$B$1000,MATCH("LWF|79",Overall!$I$2:$I$1000,0)),"")</f>
        <v/>
      </c>
      <c r="C80" s="19" t="str">
        <f aca="false">IFERROR(INDEX(Overall!$F$2:$F$1000,MATCH("LWF|79",Overall!$I$2:$I$1000,0)),"")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IF(B81="","",COUNTIFS(Overall!$C$2:$C$1000,"LWF",Overall!$F$2:$F$1000,"&gt;"&amp;C81)+1)</f>
        <v/>
      </c>
      <c r="B81" s="11" t="str">
        <f aca="false">IFERROR(INDEX(Overall!$B$2:$B$1000,MATCH("LWF|80",Overall!$I$2:$I$1000,0)),"")</f>
        <v/>
      </c>
      <c r="C81" s="19" t="str">
        <f aca="false">IFERROR(INDEX(Overall!$F$2:$F$1000,MATCH("LWF|80",Overall!$I$2:$I$1000,0)),"")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IF(B82="","",COUNTIFS(Overall!$C$2:$C$1000,"LWF",Overall!$F$2:$F$1000,"&gt;"&amp;C82)+1)</f>
        <v/>
      </c>
      <c r="B82" s="11" t="str">
        <f aca="false">IFERROR(INDEX(Overall!$B$2:$B$1000,MATCH("LWF|81",Overall!$I$2:$I$1000,0)),"")</f>
        <v/>
      </c>
      <c r="C82" s="19" t="str">
        <f aca="false">IFERROR(INDEX(Overall!$F$2:$F$1000,MATCH("LWF|81",Overall!$I$2:$I$1000,0)),"")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IF(B83="","",COUNTIFS(Overall!$C$2:$C$1000,"LWF",Overall!$F$2:$F$1000,"&gt;"&amp;C83)+1)</f>
        <v/>
      </c>
      <c r="B83" s="11" t="str">
        <f aca="false">IFERROR(INDEX(Overall!$B$2:$B$1000,MATCH("LWF|82",Overall!$I$2:$I$1000,0)),"")</f>
        <v/>
      </c>
      <c r="C83" s="19" t="str">
        <f aca="false">IFERROR(INDEX(Overall!$F$2:$F$1000,MATCH("LWF|82",Overall!$I$2:$I$1000,0)),"")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IF(B84="","",COUNTIFS(Overall!$C$2:$C$1000,"LWF",Overall!$F$2:$F$1000,"&gt;"&amp;C84)+1)</f>
        <v/>
      </c>
      <c r="B84" s="11" t="str">
        <f aca="false">IFERROR(INDEX(Overall!$B$2:$B$1000,MATCH("LWF|83",Overall!$I$2:$I$1000,0)),"")</f>
        <v/>
      </c>
      <c r="C84" s="19" t="str">
        <f aca="false">IFERROR(INDEX(Overall!$F$2:$F$1000,MATCH("LWF|83",Overall!$I$2:$I$1000,0)),"")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IF(B85="","",COUNTIFS(Overall!$C$2:$C$1000,"LWF",Overall!$F$2:$F$1000,"&gt;"&amp;C85)+1)</f>
        <v/>
      </c>
      <c r="B85" s="11" t="str">
        <f aca="false">IFERROR(INDEX(Overall!$B$2:$B$1000,MATCH("LWF|84",Overall!$I$2:$I$1000,0)),"")</f>
        <v/>
      </c>
      <c r="C85" s="19" t="str">
        <f aca="false">IFERROR(INDEX(Overall!$F$2:$F$1000,MATCH("LWF|84",Overall!$I$2:$I$1000,0)),"")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IF(B86="","",COUNTIFS(Overall!$C$2:$C$1000,"LWF",Overall!$F$2:$F$1000,"&gt;"&amp;C86)+1)</f>
        <v/>
      </c>
      <c r="B86" s="11" t="str">
        <f aca="false">IFERROR(INDEX(Overall!$B$2:$B$1000,MATCH("LWF|85",Overall!$I$2:$I$1000,0)),"")</f>
        <v/>
      </c>
      <c r="C86" s="19" t="str">
        <f aca="false">IFERROR(INDEX(Overall!$F$2:$F$1000,MATCH("LWF|85",Overall!$I$2:$I$1000,0)),"")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IF(B87="","",COUNTIFS(Overall!$C$2:$C$1000,"LWF",Overall!$F$2:$F$1000,"&gt;"&amp;C87)+1)</f>
        <v/>
      </c>
      <c r="B87" s="11" t="str">
        <f aca="false">IFERROR(INDEX(Overall!$B$2:$B$1000,MATCH("LWF|86",Overall!$I$2:$I$1000,0)),"")</f>
        <v/>
      </c>
      <c r="C87" s="19" t="str">
        <f aca="false">IFERROR(INDEX(Overall!$F$2:$F$1000,MATCH("LWF|86",Overall!$I$2:$I$1000,0)),"")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IF(B88="","",COUNTIFS(Overall!$C$2:$C$1000,"LWF",Overall!$F$2:$F$1000,"&gt;"&amp;C88)+1)</f>
        <v/>
      </c>
      <c r="B88" s="11" t="str">
        <f aca="false">IFERROR(INDEX(Overall!$B$2:$B$1000,MATCH("LWF|87",Overall!$I$2:$I$1000,0)),"")</f>
        <v/>
      </c>
      <c r="C88" s="19" t="str">
        <f aca="false">IFERROR(INDEX(Overall!$F$2:$F$1000,MATCH("LWF|87",Overall!$I$2:$I$1000,0)),"")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IF(B89="","",COUNTIFS(Overall!$C$2:$C$1000,"LWF",Overall!$F$2:$F$1000,"&gt;"&amp;C89)+1)</f>
        <v/>
      </c>
      <c r="B89" s="11" t="str">
        <f aca="false">IFERROR(INDEX(Overall!$B$2:$B$1000,MATCH("LWF|88",Overall!$I$2:$I$1000,0)),"")</f>
        <v/>
      </c>
      <c r="C89" s="19" t="str">
        <f aca="false">IFERROR(INDEX(Overall!$F$2:$F$1000,MATCH("LWF|88",Overall!$I$2:$I$1000,0)),"")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IF(B90="","",COUNTIFS(Overall!$C$2:$C$1000,"LWF",Overall!$F$2:$F$1000,"&gt;"&amp;C90)+1)</f>
        <v/>
      </c>
      <c r="B90" s="11" t="str">
        <f aca="false">IFERROR(INDEX(Overall!$B$2:$B$1000,MATCH("LWF|89",Overall!$I$2:$I$1000,0)),"")</f>
        <v/>
      </c>
      <c r="C90" s="19" t="str">
        <f aca="false">IFERROR(INDEX(Overall!$F$2:$F$1000,MATCH("LWF|89",Overall!$I$2:$I$1000,0)),"")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IF(B91="","",COUNTIFS(Overall!$C$2:$C$1000,"LWF",Overall!$F$2:$F$1000,"&gt;"&amp;C91)+1)</f>
        <v/>
      </c>
      <c r="B91" s="11" t="str">
        <f aca="false">IFERROR(INDEX(Overall!$B$2:$B$1000,MATCH("LWF|90",Overall!$I$2:$I$1000,0)),"")</f>
        <v/>
      </c>
      <c r="C91" s="19" t="str">
        <f aca="false">IFERROR(INDEX(Overall!$F$2:$F$1000,MATCH("LWF|90",Overall!$I$2:$I$1000,0)),"")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IF(B92="","",COUNTIFS(Overall!$C$2:$C$1000,"LWF",Overall!$F$2:$F$1000,"&gt;"&amp;C92)+1)</f>
        <v/>
      </c>
      <c r="B92" s="11" t="str">
        <f aca="false">IFERROR(INDEX(Overall!$B$2:$B$1000,MATCH("LWF|91",Overall!$I$2:$I$1000,0)),"")</f>
        <v/>
      </c>
      <c r="C92" s="19" t="str">
        <f aca="false">IFERROR(INDEX(Overall!$F$2:$F$1000,MATCH("LWF|91",Overall!$I$2:$I$1000,0)),"")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IF(B93="","",COUNTIFS(Overall!$C$2:$C$1000,"LWF",Overall!$F$2:$F$1000,"&gt;"&amp;C93)+1)</f>
        <v/>
      </c>
      <c r="B93" s="11" t="str">
        <f aca="false">IFERROR(INDEX(Overall!$B$2:$B$1000,MATCH("LWF|92",Overall!$I$2:$I$1000,0)),"")</f>
        <v/>
      </c>
      <c r="C93" s="19" t="str">
        <f aca="false">IFERROR(INDEX(Overall!$F$2:$F$1000,MATCH("LWF|92",Overall!$I$2:$I$1000,0)),"")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IF(B94="","",COUNTIFS(Overall!$C$2:$C$1000,"LWF",Overall!$F$2:$F$1000,"&gt;"&amp;C94)+1)</f>
        <v/>
      </c>
      <c r="B94" s="11" t="str">
        <f aca="false">IFERROR(INDEX(Overall!$B$2:$B$1000,MATCH("LWF|93",Overall!$I$2:$I$1000,0)),"")</f>
        <v/>
      </c>
      <c r="C94" s="19" t="str">
        <f aca="false">IFERROR(INDEX(Overall!$F$2:$F$1000,MATCH("LWF|93",Overall!$I$2:$I$1000,0)),"")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IF(B95="","",COUNTIFS(Overall!$C$2:$C$1000,"LWF",Overall!$F$2:$F$1000,"&gt;"&amp;C95)+1)</f>
        <v/>
      </c>
      <c r="B95" s="11" t="str">
        <f aca="false">IFERROR(INDEX(Overall!$B$2:$B$1000,MATCH("LWF|94",Overall!$I$2:$I$1000,0)),"")</f>
        <v/>
      </c>
      <c r="C95" s="19" t="str">
        <f aca="false">IFERROR(INDEX(Overall!$F$2:$F$1000,MATCH("LWF|94",Overall!$I$2:$I$1000,0)),"")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IF(B96="","",COUNTIFS(Overall!$C$2:$C$1000,"LWF",Overall!$F$2:$F$1000,"&gt;"&amp;C96)+1)</f>
        <v/>
      </c>
      <c r="B96" s="11" t="str">
        <f aca="false">IFERROR(INDEX(Overall!$B$2:$B$1000,MATCH("LWF|95",Overall!$I$2:$I$1000,0)),"")</f>
        <v/>
      </c>
      <c r="C96" s="19" t="str">
        <f aca="false">IFERROR(INDEX(Overall!$F$2:$F$1000,MATCH("LWF|95",Overall!$I$2:$I$1000,0)),"")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IF(B97="","",COUNTIFS(Overall!$C$2:$C$1000,"LWF",Overall!$F$2:$F$1000,"&gt;"&amp;C97)+1)</f>
        <v/>
      </c>
      <c r="B97" s="11" t="str">
        <f aca="false">IFERROR(INDEX(Overall!$B$2:$B$1000,MATCH("LWF|96",Overall!$I$2:$I$1000,0)),"")</f>
        <v/>
      </c>
      <c r="C97" s="19" t="str">
        <f aca="false">IFERROR(INDEX(Overall!$F$2:$F$1000,MATCH("LWF|96",Overall!$I$2:$I$1000,0)),"")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IF(B98="","",COUNTIFS(Overall!$C$2:$C$1000,"LWF",Overall!$F$2:$F$1000,"&gt;"&amp;C98)+1)</f>
        <v/>
      </c>
      <c r="B98" s="11" t="str">
        <f aca="false">IFERROR(INDEX(Overall!$B$2:$B$1000,MATCH("LWF|97",Overall!$I$2:$I$1000,0)),"")</f>
        <v/>
      </c>
      <c r="C98" s="19" t="str">
        <f aca="false">IFERROR(INDEX(Overall!$F$2:$F$1000,MATCH("LWF|97",Overall!$I$2:$I$1000,0)),"")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IF(B99="","",COUNTIFS(Overall!$C$2:$C$1000,"LWF",Overall!$F$2:$F$1000,"&gt;"&amp;C99)+1)</f>
        <v/>
      </c>
      <c r="B99" s="11" t="str">
        <f aca="false">IFERROR(INDEX(Overall!$B$2:$B$1000,MATCH("LWF|98",Overall!$I$2:$I$1000,0)),"")</f>
        <v/>
      </c>
      <c r="C99" s="19" t="str">
        <f aca="false">IFERROR(INDEX(Overall!$F$2:$F$1000,MATCH("LWF|98",Overall!$I$2:$I$1000,0)),"")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IF(B100="","",COUNTIFS(Overall!$C$2:$C$1000,"LWF",Overall!$F$2:$F$1000,"&gt;"&amp;C100)+1)</f>
        <v/>
      </c>
      <c r="B100" s="11" t="str">
        <f aca="false">IFERROR(INDEX(Overall!$B$2:$B$1000,MATCH("LWF|99",Overall!$I$2:$I$1000,0)),"")</f>
        <v/>
      </c>
      <c r="C100" s="19" t="str">
        <f aca="false">IFERROR(INDEX(Overall!$F$2:$F$1000,MATCH("LWF|99",Overall!$I$2:$I$1000,0)),"")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IF(B101="","",COUNTIFS(Overall!$C$2:$C$1000,"LWF",Overall!$F$2:$F$1000,"&gt;"&amp;C101)+1)</f>
        <v/>
      </c>
      <c r="B101" s="11" t="str">
        <f aca="false">IFERROR(INDEX(Overall!$B$2:$B$1000,MATCH("LWF|100",Overall!$I$2:$I$1000,0)),"")</f>
        <v/>
      </c>
      <c r="C101" s="19" t="str">
        <f aca="false">IFERROR(INDEX(Overall!$F$2:$F$1000,MATCH("LWF|100",Overall!$I$2:$I$1000,0)),"")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IF(B102="","",COUNTIFS(Overall!$C$2:$C$1000,"LWF",Overall!$F$2:$F$1000,"&gt;"&amp;C102)+1)</f>
        <v/>
      </c>
      <c r="B102" s="11" t="str">
        <f aca="false">IFERROR(INDEX(Overall!$B$2:$B$1000,MATCH("LWF|101",Overall!$I$2:$I$1000,0)),"")</f>
        <v/>
      </c>
      <c r="C102" s="19" t="str">
        <f aca="false">IFERROR(INDEX(Overall!$F$2:$F$1000,MATCH("LWF|101",Overall!$I$2:$I$1000,0)),"")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IF(B103="","",COUNTIFS(Overall!$C$2:$C$1000,"LWF",Overall!$F$2:$F$1000,"&gt;"&amp;C103)+1)</f>
        <v/>
      </c>
      <c r="B103" s="11" t="str">
        <f aca="false">IFERROR(INDEX(Overall!$B$2:$B$1000,MATCH("LWF|102",Overall!$I$2:$I$1000,0)),"")</f>
        <v/>
      </c>
      <c r="C103" s="19" t="str">
        <f aca="false">IFERROR(INDEX(Overall!$F$2:$F$1000,MATCH("LWF|102",Overall!$I$2:$I$1000,0)),"")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IF(B104="","",COUNTIFS(Overall!$C$2:$C$1000,"LWF",Overall!$F$2:$F$1000,"&gt;"&amp;C104)+1)</f>
        <v/>
      </c>
      <c r="B104" s="11" t="str">
        <f aca="false">IFERROR(INDEX(Overall!$B$2:$B$1000,MATCH("LWF|103",Overall!$I$2:$I$1000,0)),"")</f>
        <v/>
      </c>
      <c r="C104" s="19" t="str">
        <f aca="false">IFERROR(INDEX(Overall!$F$2:$F$1000,MATCH("LWF|103",Overall!$I$2:$I$1000,0)),"")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IF(B105="","",COUNTIFS(Overall!$C$2:$C$1000,"LWF",Overall!$F$2:$F$1000,"&gt;"&amp;C105)+1)</f>
        <v/>
      </c>
      <c r="B105" s="11" t="str">
        <f aca="false">IFERROR(INDEX(Overall!$B$2:$B$1000,MATCH("LWF|104",Overall!$I$2:$I$1000,0)),"")</f>
        <v/>
      </c>
      <c r="C105" s="19" t="str">
        <f aca="false">IFERROR(INDEX(Overall!$F$2:$F$1000,MATCH("LWF|104",Overall!$I$2:$I$1000,0)),"")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IF(B106="","",COUNTIFS(Overall!$C$2:$C$1000,"LWF",Overall!$F$2:$F$1000,"&gt;"&amp;C106)+1)</f>
        <v/>
      </c>
      <c r="B106" s="11" t="str">
        <f aca="false">IFERROR(INDEX(Overall!$B$2:$B$1000,MATCH("LWF|105",Overall!$I$2:$I$1000,0)),"")</f>
        <v/>
      </c>
      <c r="C106" s="19" t="str">
        <f aca="false">IFERROR(INDEX(Overall!$F$2:$F$1000,MATCH("LWF|105",Overall!$I$2:$I$1000,0)),"")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IF(B107="","",COUNTIFS(Overall!$C$2:$C$1000,"LWF",Overall!$F$2:$F$1000,"&gt;"&amp;C107)+1)</f>
        <v/>
      </c>
      <c r="B107" s="11" t="str">
        <f aca="false">IFERROR(INDEX(Overall!$B$2:$B$1000,MATCH("LWF|106",Overall!$I$2:$I$1000,0)),"")</f>
        <v/>
      </c>
      <c r="C107" s="19" t="str">
        <f aca="false">IFERROR(INDEX(Overall!$F$2:$F$1000,MATCH("LWF|106",Overall!$I$2:$I$1000,0)),"")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IF(B108="","",COUNTIFS(Overall!$C$2:$C$1000,"LWF",Overall!$F$2:$F$1000,"&gt;"&amp;C108)+1)</f>
        <v/>
      </c>
      <c r="B108" s="11" t="str">
        <f aca="false">IFERROR(INDEX(Overall!$B$2:$B$1000,MATCH("LWF|107",Overall!$I$2:$I$1000,0)),"")</f>
        <v/>
      </c>
      <c r="C108" s="19" t="str">
        <f aca="false">IFERROR(INDEX(Overall!$F$2:$F$1000,MATCH("LWF|107",Overall!$I$2:$I$1000,0)),"")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IF(B109="","",COUNTIFS(Overall!$C$2:$C$1000,"LWF",Overall!$F$2:$F$1000,"&gt;"&amp;C109)+1)</f>
        <v/>
      </c>
      <c r="B109" s="11" t="str">
        <f aca="false">IFERROR(INDEX(Overall!$B$2:$B$1000,MATCH("LWF|108",Overall!$I$2:$I$1000,0)),"")</f>
        <v/>
      </c>
      <c r="C109" s="19" t="str">
        <f aca="false">IFERROR(INDEX(Overall!$F$2:$F$1000,MATCH("LWF|108",Overall!$I$2:$I$1000,0)),"")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IF(B110="","",COUNTIFS(Overall!$C$2:$C$1000,"LWF",Overall!$F$2:$F$1000,"&gt;"&amp;C110)+1)</f>
        <v/>
      </c>
      <c r="B110" s="11" t="str">
        <f aca="false">IFERROR(INDEX(Overall!$B$2:$B$1000,MATCH("LWF|109",Overall!$I$2:$I$1000,0)),"")</f>
        <v/>
      </c>
      <c r="C110" s="19" t="str">
        <f aca="false">IFERROR(INDEX(Overall!$F$2:$F$1000,MATCH("LWF|109",Overall!$I$2:$I$1000,0)),"")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IF(B111="","",COUNTIFS(Overall!$C$2:$C$1000,"LWF",Overall!$F$2:$F$1000,"&gt;"&amp;C111)+1)</f>
        <v/>
      </c>
      <c r="B111" s="11" t="str">
        <f aca="false">IFERROR(INDEX(Overall!$B$2:$B$1000,MATCH("LWF|110",Overall!$I$2:$I$1000,0)),"")</f>
        <v/>
      </c>
      <c r="C111" s="19" t="str">
        <f aca="false">IFERROR(INDEX(Overall!$F$2:$F$1000,MATCH("LWF|110",Overall!$I$2:$I$1000,0)),"")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IF(B112="","",COUNTIFS(Overall!$C$2:$C$1000,"LWF",Overall!$F$2:$F$1000,"&gt;"&amp;C112)+1)</f>
        <v/>
      </c>
      <c r="B112" s="11" t="str">
        <f aca="false">IFERROR(INDEX(Overall!$B$2:$B$1000,MATCH("LWF|111",Overall!$I$2:$I$1000,0)),"")</f>
        <v/>
      </c>
      <c r="C112" s="19" t="str">
        <f aca="false">IFERROR(INDEX(Overall!$F$2:$F$1000,MATCH("LWF|111",Overall!$I$2:$I$1000,0)),"")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IF(B113="","",COUNTIFS(Overall!$C$2:$C$1000,"LWF",Overall!$F$2:$F$1000,"&gt;"&amp;C113)+1)</f>
        <v/>
      </c>
      <c r="B113" s="11" t="str">
        <f aca="false">IFERROR(INDEX(Overall!$B$2:$B$1000,MATCH("LWF|112",Overall!$I$2:$I$1000,0)),"")</f>
        <v/>
      </c>
      <c r="C113" s="19" t="str">
        <f aca="false">IFERROR(INDEX(Overall!$F$2:$F$1000,MATCH("LWF|112",Overall!$I$2:$I$1000,0)),"")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IF(B114="","",COUNTIFS(Overall!$C$2:$C$1000,"LWF",Overall!$F$2:$F$1000,"&gt;"&amp;C114)+1)</f>
        <v/>
      </c>
      <c r="B114" s="11" t="str">
        <f aca="false">IFERROR(INDEX(Overall!$B$2:$B$1000,MATCH("LWF|113",Overall!$I$2:$I$1000,0)),"")</f>
        <v/>
      </c>
      <c r="C114" s="19" t="str">
        <f aca="false">IFERROR(INDEX(Overall!$F$2:$F$1000,MATCH("LWF|113",Overall!$I$2:$I$1000,0)),"")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IF(B115="","",COUNTIFS(Overall!$C$2:$C$1000,"LWF",Overall!$F$2:$F$1000,"&gt;"&amp;C115)+1)</f>
        <v/>
      </c>
      <c r="B115" s="11" t="str">
        <f aca="false">IFERROR(INDEX(Overall!$B$2:$B$1000,MATCH("LWF|114",Overall!$I$2:$I$1000,0)),"")</f>
        <v/>
      </c>
      <c r="C115" s="19" t="str">
        <f aca="false">IFERROR(INDEX(Overall!$F$2:$F$1000,MATCH("LWF|114",Overall!$I$2:$I$1000,0)),"")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IF(B116="","",COUNTIFS(Overall!$C$2:$C$1000,"LWF",Overall!$F$2:$F$1000,"&gt;"&amp;C116)+1)</f>
        <v/>
      </c>
      <c r="B116" s="11" t="str">
        <f aca="false">IFERROR(INDEX(Overall!$B$2:$B$1000,MATCH("LWF|115",Overall!$I$2:$I$1000,0)),"")</f>
        <v/>
      </c>
      <c r="C116" s="19" t="str">
        <f aca="false">IFERROR(INDEX(Overall!$F$2:$F$1000,MATCH("LWF|115",Overall!$I$2:$I$1000,0)),"")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IF(B117="","",COUNTIFS(Overall!$C$2:$C$1000,"LWF",Overall!$F$2:$F$1000,"&gt;"&amp;C117)+1)</f>
        <v/>
      </c>
      <c r="B117" s="11" t="str">
        <f aca="false">IFERROR(INDEX(Overall!$B$2:$B$1000,MATCH("LWF|116",Overall!$I$2:$I$1000,0)),"")</f>
        <v/>
      </c>
      <c r="C117" s="19" t="str">
        <f aca="false">IFERROR(INDEX(Overall!$F$2:$F$1000,MATCH("LWF|116",Overall!$I$2:$I$1000,0)),"")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IF(B118="","",COUNTIFS(Overall!$C$2:$C$1000,"LWF",Overall!$F$2:$F$1000,"&gt;"&amp;C118)+1)</f>
        <v/>
      </c>
      <c r="B118" s="11" t="str">
        <f aca="false">IFERROR(INDEX(Overall!$B$2:$B$1000,MATCH("LWF|117",Overall!$I$2:$I$1000,0)),"")</f>
        <v/>
      </c>
      <c r="C118" s="19" t="str">
        <f aca="false">IFERROR(INDEX(Overall!$F$2:$F$1000,MATCH("LWF|117",Overall!$I$2:$I$1000,0)),"")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IF(B119="","",COUNTIFS(Overall!$C$2:$C$1000,"LWF",Overall!$F$2:$F$1000,"&gt;"&amp;C119)+1)</f>
        <v/>
      </c>
      <c r="B119" s="11" t="str">
        <f aca="false">IFERROR(INDEX(Overall!$B$2:$B$1000,MATCH("LWF|118",Overall!$I$2:$I$1000,0)),"")</f>
        <v/>
      </c>
      <c r="C119" s="19" t="str">
        <f aca="false">IFERROR(INDEX(Overall!$F$2:$F$1000,MATCH("LWF|118",Overall!$I$2:$I$1000,0)),"")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IF(B120="","",COUNTIFS(Overall!$C$2:$C$1000,"LWF",Overall!$F$2:$F$1000,"&gt;"&amp;C120)+1)</f>
        <v/>
      </c>
      <c r="B120" s="11" t="str">
        <f aca="false">IFERROR(INDEX(Overall!$B$2:$B$1000,MATCH("LWF|119",Overall!$I$2:$I$1000,0)),"")</f>
        <v/>
      </c>
      <c r="C120" s="19" t="str">
        <f aca="false">IFERROR(INDEX(Overall!$F$2:$F$1000,MATCH("LWF|119",Overall!$I$2:$I$1000,0)),"")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IF(B121="","",COUNTIFS(Overall!$C$2:$C$1000,"LWF",Overall!$F$2:$F$1000,"&gt;"&amp;C121)+1)</f>
        <v/>
      </c>
      <c r="B121" s="11" t="str">
        <f aca="false">IFERROR(INDEX(Overall!$B$2:$B$1000,MATCH("LWF|120",Overall!$I$2:$I$1000,0)),"")</f>
        <v/>
      </c>
      <c r="C121" s="19" t="str">
        <f aca="false">IFERROR(INDEX(Overall!$F$2:$F$1000,MATCH("LWF|120",Overall!$I$2:$I$1000,0)),"")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IF(B122="","",COUNTIFS(Overall!$C$2:$C$1000,"LWF",Overall!$F$2:$F$1000,"&gt;"&amp;C122)+1)</f>
        <v/>
      </c>
      <c r="B122" s="11" t="str">
        <f aca="false">IFERROR(INDEX(Overall!$B$2:$B$1000,MATCH("LWF|121",Overall!$I$2:$I$1000,0)),"")</f>
        <v/>
      </c>
      <c r="C122" s="19" t="str">
        <f aca="false">IFERROR(INDEX(Overall!$F$2:$F$1000,MATCH("LWF|121",Overall!$I$2:$I$1000,0)),"")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IF(B123="","",COUNTIFS(Overall!$C$2:$C$1000,"LWF",Overall!$F$2:$F$1000,"&gt;"&amp;C123)+1)</f>
        <v/>
      </c>
      <c r="B123" s="11" t="str">
        <f aca="false">IFERROR(INDEX(Overall!$B$2:$B$1000,MATCH("LWF|122",Overall!$I$2:$I$1000,0)),"")</f>
        <v/>
      </c>
      <c r="C123" s="19" t="str">
        <f aca="false">IFERROR(INDEX(Overall!$F$2:$F$1000,MATCH("LWF|122",Overall!$I$2:$I$1000,0)),"")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IF(B124="","",COUNTIFS(Overall!$C$2:$C$1000,"LWF",Overall!$F$2:$F$1000,"&gt;"&amp;C124)+1)</f>
        <v/>
      </c>
      <c r="B124" s="11" t="str">
        <f aca="false">IFERROR(INDEX(Overall!$B$2:$B$1000,MATCH("LWF|123",Overall!$I$2:$I$1000,0)),"")</f>
        <v/>
      </c>
      <c r="C124" s="19" t="str">
        <f aca="false">IFERROR(INDEX(Overall!$F$2:$F$1000,MATCH("LWF|123",Overall!$I$2:$I$1000,0)),"")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IF(B125="","",COUNTIFS(Overall!$C$2:$C$1000,"LWF",Overall!$F$2:$F$1000,"&gt;"&amp;C125)+1)</f>
        <v/>
      </c>
      <c r="B125" s="11" t="str">
        <f aca="false">IFERROR(INDEX(Overall!$B$2:$B$1000,MATCH("LWF|124",Overall!$I$2:$I$1000,0)),"")</f>
        <v/>
      </c>
      <c r="C125" s="19" t="str">
        <f aca="false">IFERROR(INDEX(Overall!$F$2:$F$1000,MATCH("LWF|124",Overall!$I$2:$I$1000,0)),"")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IF(B126="","",COUNTIFS(Overall!$C$2:$C$1000,"LWF",Overall!$F$2:$F$1000,"&gt;"&amp;C126)+1)</f>
        <v/>
      </c>
      <c r="B126" s="11" t="str">
        <f aca="false">IFERROR(INDEX(Overall!$B$2:$B$1000,MATCH("LWF|125",Overall!$I$2:$I$1000,0)),"")</f>
        <v/>
      </c>
      <c r="C126" s="19" t="str">
        <f aca="false">IFERROR(INDEX(Overall!$F$2:$F$1000,MATCH("LWF|125",Overall!$I$2:$I$1000,0)),"")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IF(B127="","",COUNTIFS(Overall!$C$2:$C$1000,"LWF",Overall!$F$2:$F$1000,"&gt;"&amp;C127)+1)</f>
        <v/>
      </c>
      <c r="B127" s="11" t="str">
        <f aca="false">IFERROR(INDEX(Overall!$B$2:$B$1000,MATCH("LWF|126",Overall!$I$2:$I$1000,0)),"")</f>
        <v/>
      </c>
      <c r="C127" s="19" t="str">
        <f aca="false">IFERROR(INDEX(Overall!$F$2:$F$1000,MATCH("LWF|126",Overall!$I$2:$I$1000,0)),"")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IF(B128="","",COUNTIFS(Overall!$C$2:$C$1000,"LWF",Overall!$F$2:$F$1000,"&gt;"&amp;C128)+1)</f>
        <v/>
      </c>
      <c r="B128" s="11" t="str">
        <f aca="false">IFERROR(INDEX(Overall!$B$2:$B$1000,MATCH("LWF|127",Overall!$I$2:$I$1000,0)),"")</f>
        <v/>
      </c>
      <c r="C128" s="19" t="str">
        <f aca="false">IFERROR(INDEX(Overall!$F$2:$F$1000,MATCH("LWF|127",Overall!$I$2:$I$1000,0)),"")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IF(B129="","",COUNTIFS(Overall!$C$2:$C$1000,"LWF",Overall!$F$2:$F$1000,"&gt;"&amp;C129)+1)</f>
        <v/>
      </c>
      <c r="B129" s="11" t="str">
        <f aca="false">IFERROR(INDEX(Overall!$B$2:$B$1000,MATCH("LWF|128",Overall!$I$2:$I$1000,0)),"")</f>
        <v/>
      </c>
      <c r="C129" s="19" t="str">
        <f aca="false">IFERROR(INDEX(Overall!$F$2:$F$1000,MATCH("LWF|128",Overall!$I$2:$I$1000,0)),"")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IF(B130="","",COUNTIFS(Overall!$C$2:$C$1000,"LWF",Overall!$F$2:$F$1000,"&gt;"&amp;C130)+1)</f>
        <v/>
      </c>
      <c r="B130" s="11" t="str">
        <f aca="false">IFERROR(INDEX(Overall!$B$2:$B$1000,MATCH("LWF|129",Overall!$I$2:$I$1000,0)),"")</f>
        <v/>
      </c>
      <c r="C130" s="19" t="str">
        <f aca="false">IFERROR(INDEX(Overall!$F$2:$F$1000,MATCH("LWF|129",Overall!$I$2:$I$1000,0)),"")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IF(B131="","",COUNTIFS(Overall!$C$2:$C$1000,"LWF",Overall!$F$2:$F$1000,"&gt;"&amp;C131)+1)</f>
        <v/>
      </c>
      <c r="B131" s="11" t="str">
        <f aca="false">IFERROR(INDEX(Overall!$B$2:$B$1000,MATCH("LWF|130",Overall!$I$2:$I$1000,0)),"")</f>
        <v/>
      </c>
      <c r="C131" s="19" t="str">
        <f aca="false">IFERROR(INDEX(Overall!$F$2:$F$1000,MATCH("LWF|130",Overall!$I$2:$I$1000,0)),"")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IF(B132="","",COUNTIFS(Overall!$C$2:$C$1000,"LWF",Overall!$F$2:$F$1000,"&gt;"&amp;C132)+1)</f>
        <v/>
      </c>
      <c r="B132" s="11" t="str">
        <f aca="false">IFERROR(INDEX(Overall!$B$2:$B$1000,MATCH("LWF|131",Overall!$I$2:$I$1000,0)),"")</f>
        <v/>
      </c>
      <c r="C132" s="19" t="str">
        <f aca="false">IFERROR(INDEX(Overall!$F$2:$F$1000,MATCH("LWF|131",Overall!$I$2:$I$1000,0)),"")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IF(B133="","",COUNTIFS(Overall!$C$2:$C$1000,"LWF",Overall!$F$2:$F$1000,"&gt;"&amp;C133)+1)</f>
        <v/>
      </c>
      <c r="B133" s="11" t="str">
        <f aca="false">IFERROR(INDEX(Overall!$B$2:$B$1000,MATCH("LWF|132",Overall!$I$2:$I$1000,0)),"")</f>
        <v/>
      </c>
      <c r="C133" s="19" t="str">
        <f aca="false">IFERROR(INDEX(Overall!$F$2:$F$1000,MATCH("LWF|132",Overall!$I$2:$I$1000,0)),"")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IF(B134="","",COUNTIFS(Overall!$C$2:$C$1000,"LWF",Overall!$F$2:$F$1000,"&gt;"&amp;C134)+1)</f>
        <v/>
      </c>
      <c r="B134" s="11" t="str">
        <f aca="false">IFERROR(INDEX(Overall!$B$2:$B$1000,MATCH("LWF|133",Overall!$I$2:$I$1000,0)),"")</f>
        <v/>
      </c>
      <c r="C134" s="19" t="str">
        <f aca="false">IFERROR(INDEX(Overall!$F$2:$F$1000,MATCH("LWF|133",Overall!$I$2:$I$1000,0)),"")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IF(B135="","",COUNTIFS(Overall!$C$2:$C$1000,"LWF",Overall!$F$2:$F$1000,"&gt;"&amp;C135)+1)</f>
        <v/>
      </c>
      <c r="B135" s="11" t="str">
        <f aca="false">IFERROR(INDEX(Overall!$B$2:$B$1000,MATCH("LWF|134",Overall!$I$2:$I$1000,0)),"")</f>
        <v/>
      </c>
      <c r="C135" s="19" t="str">
        <f aca="false">IFERROR(INDEX(Overall!$F$2:$F$1000,MATCH("LWF|134",Overall!$I$2:$I$1000,0)),"")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IF(B136="","",COUNTIFS(Overall!$C$2:$C$1000,"LWF",Overall!$F$2:$F$1000,"&gt;"&amp;C136)+1)</f>
        <v/>
      </c>
      <c r="B136" s="11" t="str">
        <f aca="false">IFERROR(INDEX(Overall!$B$2:$B$1000,MATCH("LWF|135",Overall!$I$2:$I$1000,0)),"")</f>
        <v/>
      </c>
      <c r="C136" s="19" t="str">
        <f aca="false">IFERROR(INDEX(Overall!$F$2:$F$1000,MATCH("LWF|135",Overall!$I$2:$I$1000,0)),"")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IF(B137="","",COUNTIFS(Overall!$C$2:$C$1000,"LWF",Overall!$F$2:$F$1000,"&gt;"&amp;C137)+1)</f>
        <v/>
      </c>
      <c r="B137" s="11" t="str">
        <f aca="false">IFERROR(INDEX(Overall!$B$2:$B$1000,MATCH("LWF|136",Overall!$I$2:$I$1000,0)),"")</f>
        <v/>
      </c>
      <c r="C137" s="19" t="str">
        <f aca="false">IFERROR(INDEX(Overall!$F$2:$F$1000,MATCH("LWF|136",Overall!$I$2:$I$1000,0)),"")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IF(B138="","",COUNTIFS(Overall!$C$2:$C$1000,"LWF",Overall!$F$2:$F$1000,"&gt;"&amp;C138)+1)</f>
        <v/>
      </c>
      <c r="B138" s="11" t="str">
        <f aca="false">IFERROR(INDEX(Overall!$B$2:$B$1000,MATCH("LWF|137",Overall!$I$2:$I$1000,0)),"")</f>
        <v/>
      </c>
      <c r="C138" s="19" t="str">
        <f aca="false">IFERROR(INDEX(Overall!$F$2:$F$1000,MATCH("LWF|137",Overall!$I$2:$I$1000,0)),"")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IF(B139="","",COUNTIFS(Overall!$C$2:$C$1000,"LWF",Overall!$F$2:$F$1000,"&gt;"&amp;C139)+1)</f>
        <v/>
      </c>
      <c r="B139" s="11" t="str">
        <f aca="false">IFERROR(INDEX(Overall!$B$2:$B$1000,MATCH("LWF|138",Overall!$I$2:$I$1000,0)),"")</f>
        <v/>
      </c>
      <c r="C139" s="19" t="str">
        <f aca="false">IFERROR(INDEX(Overall!$F$2:$F$1000,MATCH("LWF|138",Overall!$I$2:$I$1000,0)),"")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IF(B140="","",COUNTIFS(Overall!$C$2:$C$1000,"LWF",Overall!$F$2:$F$1000,"&gt;"&amp;C140)+1)</f>
        <v/>
      </c>
      <c r="B140" s="11" t="str">
        <f aca="false">IFERROR(INDEX(Overall!$B$2:$B$1000,MATCH("LWF|139",Overall!$I$2:$I$1000,0)),"")</f>
        <v/>
      </c>
      <c r="C140" s="19" t="str">
        <f aca="false">IFERROR(INDEX(Overall!$F$2:$F$1000,MATCH("LWF|139",Overall!$I$2:$I$1000,0)),"")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IF(B141="","",COUNTIFS(Overall!$C$2:$C$1000,"LWF",Overall!$F$2:$F$1000,"&gt;"&amp;C141)+1)</f>
        <v/>
      </c>
      <c r="B141" s="11" t="str">
        <f aca="false">IFERROR(INDEX(Overall!$B$2:$B$1000,MATCH("LWF|140",Overall!$I$2:$I$1000,0)),"")</f>
        <v/>
      </c>
      <c r="C141" s="19" t="str">
        <f aca="false">IFERROR(INDEX(Overall!$F$2:$F$1000,MATCH("LWF|140",Overall!$I$2:$I$1000,0)),"")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IF(B142="","",COUNTIFS(Overall!$C$2:$C$1000,"LWF",Overall!$F$2:$F$1000,"&gt;"&amp;C142)+1)</f>
        <v/>
      </c>
      <c r="B142" s="11" t="str">
        <f aca="false">IFERROR(INDEX(Overall!$B$2:$B$1000,MATCH("LWF|141",Overall!$I$2:$I$1000,0)),"")</f>
        <v/>
      </c>
      <c r="C142" s="19" t="str">
        <f aca="false">IFERROR(INDEX(Overall!$F$2:$F$1000,MATCH("LWF|141",Overall!$I$2:$I$1000,0)),"")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IF(B143="","",COUNTIFS(Overall!$C$2:$C$1000,"LWF",Overall!$F$2:$F$1000,"&gt;"&amp;C143)+1)</f>
        <v/>
      </c>
      <c r="B143" s="11" t="str">
        <f aca="false">IFERROR(INDEX(Overall!$B$2:$B$1000,MATCH("LWF|142",Overall!$I$2:$I$1000,0)),"")</f>
        <v/>
      </c>
      <c r="C143" s="19" t="str">
        <f aca="false">IFERROR(INDEX(Overall!$F$2:$F$1000,MATCH("LWF|142",Overall!$I$2:$I$1000,0)),"")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IF(B144="","",COUNTIFS(Overall!$C$2:$C$1000,"LWF",Overall!$F$2:$F$1000,"&gt;"&amp;C144)+1)</f>
        <v/>
      </c>
      <c r="B144" s="11" t="str">
        <f aca="false">IFERROR(INDEX(Overall!$B$2:$B$1000,MATCH("LWF|143",Overall!$I$2:$I$1000,0)),"")</f>
        <v/>
      </c>
      <c r="C144" s="19" t="str">
        <f aca="false">IFERROR(INDEX(Overall!$F$2:$F$1000,MATCH("LWF|143",Overall!$I$2:$I$1000,0)),"")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IF(B145="","",COUNTIFS(Overall!$C$2:$C$1000,"LWF",Overall!$F$2:$F$1000,"&gt;"&amp;C145)+1)</f>
        <v/>
      </c>
      <c r="B145" s="11" t="str">
        <f aca="false">IFERROR(INDEX(Overall!$B$2:$B$1000,MATCH("LWF|144",Overall!$I$2:$I$1000,0)),"")</f>
        <v/>
      </c>
      <c r="C145" s="19" t="str">
        <f aca="false">IFERROR(INDEX(Overall!$F$2:$F$1000,MATCH("LWF|144",Overall!$I$2:$I$1000,0)),"")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IF(B146="","",COUNTIFS(Overall!$C$2:$C$1000,"LWF",Overall!$F$2:$F$1000,"&gt;"&amp;C146)+1)</f>
        <v/>
      </c>
      <c r="B146" s="11" t="str">
        <f aca="false">IFERROR(INDEX(Overall!$B$2:$B$1000,MATCH("LWF|145",Overall!$I$2:$I$1000,0)),"")</f>
        <v/>
      </c>
      <c r="C146" s="19" t="str">
        <f aca="false">IFERROR(INDEX(Overall!$F$2:$F$1000,MATCH("LWF|145",Overall!$I$2:$I$1000,0)),"")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IF(B147="","",COUNTIFS(Overall!$C$2:$C$1000,"LWF",Overall!$F$2:$F$1000,"&gt;"&amp;C147)+1)</f>
        <v/>
      </c>
      <c r="B147" s="11" t="str">
        <f aca="false">IFERROR(INDEX(Overall!$B$2:$B$1000,MATCH("LWF|146",Overall!$I$2:$I$1000,0)),"")</f>
        <v/>
      </c>
      <c r="C147" s="19" t="str">
        <f aca="false">IFERROR(INDEX(Overall!$F$2:$F$1000,MATCH("LWF|146",Overall!$I$2:$I$1000,0)),"")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IF(B148="","",COUNTIFS(Overall!$C$2:$C$1000,"LWF",Overall!$F$2:$F$1000,"&gt;"&amp;C148)+1)</f>
        <v/>
      </c>
      <c r="B148" s="11" t="str">
        <f aca="false">IFERROR(INDEX(Overall!$B$2:$B$1000,MATCH("LWF|147",Overall!$I$2:$I$1000,0)),"")</f>
        <v/>
      </c>
      <c r="C148" s="19" t="str">
        <f aca="false">IFERROR(INDEX(Overall!$F$2:$F$1000,MATCH("LWF|147",Overall!$I$2:$I$1000,0)),"")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IF(B149="","",COUNTIFS(Overall!$C$2:$C$1000,"LWF",Overall!$F$2:$F$1000,"&gt;"&amp;C149)+1)</f>
        <v/>
      </c>
      <c r="B149" s="11" t="str">
        <f aca="false">IFERROR(INDEX(Overall!$B$2:$B$1000,MATCH("LWF|148",Overall!$I$2:$I$1000,0)),"")</f>
        <v/>
      </c>
      <c r="C149" s="19" t="str">
        <f aca="false">IFERROR(INDEX(Overall!$F$2:$F$1000,MATCH("LWF|148",Overall!$I$2:$I$1000,0)),"")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IF(B150="","",COUNTIFS(Overall!$C$2:$C$1000,"LWF",Overall!$F$2:$F$1000,"&gt;"&amp;C150)+1)</f>
        <v/>
      </c>
      <c r="B150" s="11" t="str">
        <f aca="false">IFERROR(INDEX(Overall!$B$2:$B$1000,MATCH("LWF|149",Overall!$I$2:$I$1000,0)),"")</f>
        <v/>
      </c>
      <c r="C150" s="19" t="str">
        <f aca="false">IFERROR(INDEX(Overall!$F$2:$F$1000,MATCH("LWF|149",Overall!$I$2:$I$1000,0)),"")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IF(B151="","",COUNTIFS(Overall!$C$2:$C$1000,"LWF",Overall!$F$2:$F$1000,"&gt;"&amp;C151)+1)</f>
        <v/>
      </c>
      <c r="B151" s="11" t="str">
        <f aca="false">IFERROR(INDEX(Overall!$B$2:$B$1000,MATCH("LWF|150",Overall!$I$2:$I$1000,0)),"")</f>
        <v/>
      </c>
      <c r="C151" s="19" t="str">
        <f aca="false">IFERROR(INDEX(Overall!$F$2:$F$1000,MATCH("LWF|150",Overall!$I$2:$I$1000,0)),"")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D9D9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IF(B2="","",COUNTIFS(Overall!$C$2:$C$1000,"RWF",Overall!$F$2:$F$1000,"&gt;"&amp;C2)+1)</f>
        <v>1</v>
      </c>
      <c r="B2" s="11" t="str">
        <f aca="false">IFERROR(INDEX(Overall!$B$2:$B$1000,MATCH("RWF|1",Overall!$I$2:$I$1000,0)),"")</f>
        <v>Super Totti og</v>
      </c>
      <c r="C2" s="19" t="n">
        <f aca="false">IFERROR(INDEX(Overall!$F$2:$F$1000,MATCH("RWF|1",Overall!$I$2:$I$1000,0)),"")</f>
        <v>109</v>
      </c>
    </row>
    <row r="3" customFormat="false" ht="15" hidden="false" customHeight="false" outlineLevel="0" collapsed="false">
      <c r="A3" s="22" t="n">
        <f aca="false">IF(B3="","",COUNTIFS(Overall!$C$2:$C$1000,"RWF",Overall!$F$2:$F$1000,"&gt;"&amp;C3)+1)</f>
        <v>2</v>
      </c>
      <c r="B3" s="11" t="str">
        <f aca="false">IFERROR(INDEX(Overall!$B$2:$B$1000,MATCH("RWF|2",Overall!$I$2:$I$1000,0)),"")</f>
        <v>Gon freecs</v>
      </c>
      <c r="C3" s="19" t="n">
        <f aca="false">IFERROR(INDEX(Overall!$F$2:$F$1000,MATCH("RWF|2",Overall!$I$2:$I$1000,0)),"")</f>
        <v>86</v>
      </c>
    </row>
    <row r="4" customFormat="false" ht="15" hidden="false" customHeight="false" outlineLevel="0" collapsed="false">
      <c r="A4" s="22" t="n">
        <f aca="false">IF(B4="","",COUNTIFS(Overall!$C$2:$C$1000,"RWF",Overall!$F$2:$F$1000,"&gt;"&amp;C4)+1)</f>
        <v>2</v>
      </c>
      <c r="B4" s="11" t="str">
        <f aca="false">IFERROR(INDEX(Overall!$B$2:$B$1000,MATCH("RWF|3",Overall!$I$2:$I$1000,0)),"")</f>
        <v>Enrique iglesias</v>
      </c>
      <c r="C4" s="19" t="n">
        <f aca="false">IFERROR(INDEX(Overall!$F$2:$F$1000,MATCH("RWF|3",Overall!$I$2:$I$1000,0)),"")</f>
        <v>86</v>
      </c>
    </row>
    <row r="5" customFormat="false" ht="15" hidden="false" customHeight="false" outlineLevel="0" collapsed="false">
      <c r="A5" s="22" t="n">
        <f aca="false">IF(B5="","",COUNTIFS(Overall!$C$2:$C$1000,"RWF",Overall!$F$2:$F$1000,"&gt;"&amp;C5)+1)</f>
        <v>4</v>
      </c>
      <c r="B5" s="11" t="str">
        <f aca="false">IFERROR(INDEX(Overall!$B$2:$B$1000,MATCH("RWF|4",Overall!$I$2:$I$1000,0)),"")</f>
        <v>Impostor</v>
      </c>
      <c r="C5" s="19" t="n">
        <f aca="false">IFERROR(INDEX(Overall!$F$2:$F$1000,MATCH("RWF|4",Overall!$I$2:$I$1000,0)),"")</f>
        <v>83</v>
      </c>
    </row>
    <row r="6" customFormat="false" ht="15" hidden="false" customHeight="false" outlineLevel="0" collapsed="false">
      <c r="A6" s="22" t="n">
        <f aca="false">IF(B6="","",COUNTIFS(Overall!$C$2:$C$1000,"RWF",Overall!$F$2:$F$1000,"&gt;"&amp;C6)+1)</f>
        <v>4</v>
      </c>
      <c r="B6" s="11" t="str">
        <f aca="false">IFERROR(INDEX(Overall!$B$2:$B$1000,MATCH("RWF|5",Overall!$I$2:$I$1000,0)),"")</f>
        <v>Goten</v>
      </c>
      <c r="C6" s="19" t="n">
        <f aca="false">IFERROR(INDEX(Overall!$F$2:$F$1000,MATCH("RWF|5",Overall!$I$2:$I$1000,0)),"")</f>
        <v>83</v>
      </c>
    </row>
    <row r="7" customFormat="false" ht="15" hidden="false" customHeight="false" outlineLevel="0" collapsed="false">
      <c r="A7" s="22" t="n">
        <f aca="false">IF(B7="","",COUNTIFS(Overall!$C$2:$C$1000,"RWF",Overall!$F$2:$F$1000,"&gt;"&amp;C7)+1)</f>
        <v>6</v>
      </c>
      <c r="B7" s="11" t="str">
        <f aca="false">IFERROR(INDEX(Overall!$B$2:$B$1000,MATCH("RWF|6",Overall!$I$2:$I$1000,0)),"")</f>
        <v>Weegee</v>
      </c>
      <c r="C7" s="19" t="n">
        <f aca="false">IFERROR(INDEX(Overall!$F$2:$F$1000,MATCH("RWF|6",Overall!$I$2:$I$1000,0)),"")</f>
        <v>81</v>
      </c>
    </row>
    <row r="8" customFormat="false" ht="15" hidden="false" customHeight="false" outlineLevel="0" collapsed="false">
      <c r="A8" s="22" t="n">
        <f aca="false">IF(B8="","",COUNTIFS(Overall!$C$2:$C$1000,"RWF",Overall!$F$2:$F$1000,"&gt;"&amp;C8)+1)</f>
        <v>7</v>
      </c>
      <c r="B8" s="11" t="str">
        <f aca="false">IFERROR(INDEX(Overall!$B$2:$B$1000,MATCH("RWF|7",Overall!$I$2:$I$1000,0)),"")</f>
        <v>Jeice</v>
      </c>
      <c r="C8" s="19" t="n">
        <f aca="false">IFERROR(INDEX(Overall!$F$2:$F$1000,MATCH("RWF|7",Overall!$I$2:$I$1000,0)),"")</f>
        <v>78</v>
      </c>
    </row>
    <row r="9" customFormat="false" ht="15" hidden="false" customHeight="false" outlineLevel="0" collapsed="false">
      <c r="A9" s="22" t="n">
        <f aca="false">IF(B9="","",COUNTIFS(Overall!$C$2:$C$1000,"RWF",Overall!$F$2:$F$1000,"&gt;"&amp;C9)+1)</f>
        <v>8</v>
      </c>
      <c r="B9" s="11" t="str">
        <f aca="false">IFERROR(INDEX(Overall!$B$2:$B$1000,MATCH("RWF|8",Overall!$I$2:$I$1000,0)),"")</f>
        <v>Buzz lighyear</v>
      </c>
      <c r="C9" s="19" t="n">
        <f aca="false">IFERROR(INDEX(Overall!$F$2:$F$1000,MATCH("RWF|8",Overall!$I$2:$I$1000,0)),"")</f>
        <v>77</v>
      </c>
    </row>
    <row r="10" customFormat="false" ht="15" hidden="false" customHeight="false" outlineLevel="0" collapsed="false">
      <c r="A10" s="22" t="str">
        <f aca="false">IF(B10="","",COUNTIFS(Overall!$C$2:$C$1000,"RWF",Overall!$F$2:$F$1000,"&gt;"&amp;C10)+1)</f>
        <v/>
      </c>
      <c r="B10" s="11" t="str">
        <f aca="false">IFERROR(INDEX(Overall!$B$2:$B$1000,MATCH("RWF|9",Overall!$I$2:$I$1000,0)),"")</f>
        <v/>
      </c>
      <c r="C10" s="19" t="str">
        <f aca="false">IFERROR(INDEX(Overall!$F$2:$F$1000,MATCH("RWF|9",Overall!$I$2:$I$1000,0)),"")</f>
        <v/>
      </c>
    </row>
    <row r="11" customFormat="false" ht="15" hidden="false" customHeight="false" outlineLevel="0" collapsed="false">
      <c r="A11" s="22" t="str">
        <f aca="false">IF(B11="","",COUNTIFS(Overall!$C$2:$C$1000,"RWF",Overall!$F$2:$F$1000,"&gt;"&amp;C11)+1)</f>
        <v/>
      </c>
      <c r="B11" s="11" t="str">
        <f aca="false">IFERROR(INDEX(Overall!$B$2:$B$1000,MATCH("RWF|10",Overall!$I$2:$I$1000,0)),"")</f>
        <v/>
      </c>
      <c r="C11" s="19" t="str">
        <f aca="false">IFERROR(INDEX(Overall!$F$2:$F$1000,MATCH("RWF|10",Overall!$I$2:$I$1000,0)),"")</f>
        <v/>
      </c>
    </row>
    <row r="12" customFormat="false" ht="15" hidden="false" customHeight="false" outlineLevel="0" collapsed="false">
      <c r="A12" s="22" t="str">
        <f aca="false">IF(B12="","",COUNTIFS(Overall!$C$2:$C$1000,"RWF",Overall!$F$2:$F$1000,"&gt;"&amp;C12)+1)</f>
        <v/>
      </c>
      <c r="B12" s="11" t="str">
        <f aca="false">IFERROR(INDEX(Overall!$B$2:$B$1000,MATCH("RWF|11",Overall!$I$2:$I$1000,0)),"")</f>
        <v/>
      </c>
      <c r="C12" s="19" t="str">
        <f aca="false">IFERROR(INDEX(Overall!$F$2:$F$1000,MATCH("RWF|11",Overall!$I$2:$I$1000,0)),"")</f>
        <v/>
      </c>
    </row>
    <row r="13" customFormat="false" ht="15" hidden="false" customHeight="false" outlineLevel="0" collapsed="false">
      <c r="A13" s="22" t="str">
        <f aca="false">IF(B13="","",COUNTIFS(Overall!$C$2:$C$1000,"RWF",Overall!$F$2:$F$1000,"&gt;"&amp;C13)+1)</f>
        <v/>
      </c>
      <c r="B13" s="11" t="str">
        <f aca="false">IFERROR(INDEX(Overall!$B$2:$B$1000,MATCH("RWF|12",Overall!$I$2:$I$1000,0)),"")</f>
        <v/>
      </c>
      <c r="C13" s="19" t="str">
        <f aca="false">IFERROR(INDEX(Overall!$F$2:$F$1000,MATCH("RWF|12",Overall!$I$2:$I$1000,0)),"")</f>
        <v/>
      </c>
    </row>
    <row r="14" customFormat="false" ht="15" hidden="false" customHeight="false" outlineLevel="0" collapsed="false">
      <c r="A14" s="22" t="str">
        <f aca="false">IF(B14="","",COUNTIFS(Overall!$C$2:$C$1000,"RWF",Overall!$F$2:$F$1000,"&gt;"&amp;C14)+1)</f>
        <v/>
      </c>
      <c r="B14" s="11" t="str">
        <f aca="false">IFERROR(INDEX(Overall!$B$2:$B$1000,MATCH("RWF|13",Overall!$I$2:$I$1000,0)),"")</f>
        <v/>
      </c>
      <c r="C14" s="19" t="str">
        <f aca="false">IFERROR(INDEX(Overall!$F$2:$F$1000,MATCH("RWF|13",Overall!$I$2:$I$1000,0)),"")</f>
        <v/>
      </c>
    </row>
    <row r="15" customFormat="false" ht="15" hidden="false" customHeight="false" outlineLevel="0" collapsed="false">
      <c r="A15" s="22" t="str">
        <f aca="false">IF(B15="","",COUNTIFS(Overall!$C$2:$C$1000,"RWF",Overall!$F$2:$F$1000,"&gt;"&amp;C15)+1)</f>
        <v/>
      </c>
      <c r="B15" s="11" t="str">
        <f aca="false">IFERROR(INDEX(Overall!$B$2:$B$1000,MATCH("RWF|14",Overall!$I$2:$I$1000,0)),"")</f>
        <v/>
      </c>
      <c r="C15" s="19" t="str">
        <f aca="false">IFERROR(INDEX(Overall!$F$2:$F$1000,MATCH("RWF|14",Overall!$I$2:$I$1000,0)),"")</f>
        <v/>
      </c>
    </row>
    <row r="16" customFormat="false" ht="15" hidden="false" customHeight="false" outlineLevel="0" collapsed="false">
      <c r="A16" s="22" t="str">
        <f aca="false">IF(B16="","",COUNTIFS(Overall!$C$2:$C$1000,"RWF",Overall!$F$2:$F$1000,"&gt;"&amp;C16)+1)</f>
        <v/>
      </c>
      <c r="B16" s="11" t="str">
        <f aca="false">IFERROR(INDEX(Overall!$B$2:$B$1000,MATCH("RWF|15",Overall!$I$2:$I$1000,0)),"")</f>
        <v/>
      </c>
      <c r="C16" s="19" t="str">
        <f aca="false">IFERROR(INDEX(Overall!$F$2:$F$1000,MATCH("RWF|15",Overall!$I$2:$I$1000,0)),"")</f>
        <v/>
      </c>
    </row>
    <row r="17" customFormat="false" ht="15" hidden="false" customHeight="false" outlineLevel="0" collapsed="false">
      <c r="A17" s="22" t="str">
        <f aca="false">IF(B17="","",COUNTIFS(Overall!$C$2:$C$1000,"RWF",Overall!$F$2:$F$1000,"&gt;"&amp;C17)+1)</f>
        <v/>
      </c>
      <c r="B17" s="11" t="str">
        <f aca="false">IFERROR(INDEX(Overall!$B$2:$B$1000,MATCH("RWF|16",Overall!$I$2:$I$1000,0)),"")</f>
        <v/>
      </c>
      <c r="C17" s="19" t="str">
        <f aca="false">IFERROR(INDEX(Overall!$F$2:$F$1000,MATCH("RWF|16",Overall!$I$2:$I$1000,0)),"")</f>
        <v/>
      </c>
    </row>
    <row r="18" customFormat="false" ht="15" hidden="false" customHeight="false" outlineLevel="0" collapsed="false">
      <c r="A18" s="22" t="str">
        <f aca="false">IF(B18="","",COUNTIFS(Overall!$C$2:$C$1000,"RWF",Overall!$F$2:$F$1000,"&gt;"&amp;C18)+1)</f>
        <v/>
      </c>
      <c r="B18" s="11" t="str">
        <f aca="false">IFERROR(INDEX(Overall!$B$2:$B$1000,MATCH("RWF|17",Overall!$I$2:$I$1000,0)),"")</f>
        <v/>
      </c>
      <c r="C18" s="19" t="str">
        <f aca="false">IFERROR(INDEX(Overall!$F$2:$F$1000,MATCH("RWF|17",Overall!$I$2:$I$1000,0)),"")</f>
        <v/>
      </c>
    </row>
    <row r="19" customFormat="false" ht="15" hidden="false" customHeight="false" outlineLevel="0" collapsed="false">
      <c r="A19" s="22" t="str">
        <f aca="false">IF(B19="","",COUNTIFS(Overall!$C$2:$C$1000,"RWF",Overall!$F$2:$F$1000,"&gt;"&amp;C19)+1)</f>
        <v/>
      </c>
      <c r="B19" s="11" t="str">
        <f aca="false">IFERROR(INDEX(Overall!$B$2:$B$1000,MATCH("RWF|18",Overall!$I$2:$I$1000,0)),"")</f>
        <v/>
      </c>
      <c r="C19" s="19" t="str">
        <f aca="false">IFERROR(INDEX(Overall!$F$2:$F$1000,MATCH("RWF|18",Overall!$I$2:$I$1000,0)),"")</f>
        <v/>
      </c>
    </row>
    <row r="20" customFormat="false" ht="15" hidden="false" customHeight="false" outlineLevel="0" collapsed="false">
      <c r="A20" s="22" t="str">
        <f aca="false">IF(B20="","",COUNTIFS(Overall!$C$2:$C$1000,"RWF",Overall!$F$2:$F$1000,"&gt;"&amp;C20)+1)</f>
        <v/>
      </c>
      <c r="B20" s="11" t="str">
        <f aca="false">IFERROR(INDEX(Overall!$B$2:$B$1000,MATCH("RWF|19",Overall!$I$2:$I$1000,0)),"")</f>
        <v/>
      </c>
      <c r="C20" s="19" t="str">
        <f aca="false">IFERROR(INDEX(Overall!$F$2:$F$1000,MATCH("RWF|19",Overall!$I$2:$I$1000,0)),"")</f>
        <v/>
      </c>
    </row>
    <row r="21" customFormat="false" ht="15" hidden="false" customHeight="false" outlineLevel="0" collapsed="false">
      <c r="A21" s="22" t="str">
        <f aca="false">IF(B21="","",COUNTIFS(Overall!$C$2:$C$1000,"RWF",Overall!$F$2:$F$1000,"&gt;"&amp;C21)+1)</f>
        <v/>
      </c>
      <c r="B21" s="11" t="str">
        <f aca="false">IFERROR(INDEX(Overall!$B$2:$B$1000,MATCH("RWF|20",Overall!$I$2:$I$1000,0)),"")</f>
        <v/>
      </c>
      <c r="C21" s="19" t="str">
        <f aca="false">IFERROR(INDEX(Overall!$F$2:$F$1000,MATCH("RWF|20",Overall!$I$2:$I$1000,0)),"")</f>
        <v/>
      </c>
    </row>
    <row r="22" customFormat="false" ht="15" hidden="false" customHeight="false" outlineLevel="0" collapsed="false">
      <c r="A22" s="22" t="str">
        <f aca="false">IF(B22="","",COUNTIFS(Overall!$C$2:$C$1000,"RWF",Overall!$F$2:$F$1000,"&gt;"&amp;C22)+1)</f>
        <v/>
      </c>
      <c r="B22" s="11" t="str">
        <f aca="false">IFERROR(INDEX(Overall!$B$2:$B$1000,MATCH("RWF|21",Overall!$I$2:$I$1000,0)),"")</f>
        <v/>
      </c>
      <c r="C22" s="19" t="str">
        <f aca="false">IFERROR(INDEX(Overall!$F$2:$F$1000,MATCH("RWF|21",Overall!$I$2:$I$1000,0)),"")</f>
        <v/>
      </c>
    </row>
    <row r="23" customFormat="false" ht="15" hidden="false" customHeight="false" outlineLevel="0" collapsed="false">
      <c r="A23" s="22" t="str">
        <f aca="false">IF(B23="","",COUNTIFS(Overall!$C$2:$C$1000,"RWF",Overall!$F$2:$F$1000,"&gt;"&amp;C23)+1)</f>
        <v/>
      </c>
      <c r="B23" s="11" t="str">
        <f aca="false">IFERROR(INDEX(Overall!$B$2:$B$1000,MATCH("RWF|22",Overall!$I$2:$I$1000,0)),"")</f>
        <v/>
      </c>
      <c r="C23" s="19" t="str">
        <f aca="false">IFERROR(INDEX(Overall!$F$2:$F$1000,MATCH("RWF|22",Overall!$I$2:$I$1000,0)),"")</f>
        <v/>
      </c>
    </row>
    <row r="24" customFormat="false" ht="15" hidden="false" customHeight="false" outlineLevel="0" collapsed="false">
      <c r="A24" s="22" t="str">
        <f aca="false">IF(B24="","",COUNTIFS(Overall!$C$2:$C$1000,"RWF",Overall!$F$2:$F$1000,"&gt;"&amp;C24)+1)</f>
        <v/>
      </c>
      <c r="B24" s="11" t="str">
        <f aca="false">IFERROR(INDEX(Overall!$B$2:$B$1000,MATCH("RWF|23",Overall!$I$2:$I$1000,0)),"")</f>
        <v/>
      </c>
      <c r="C24" s="19" t="str">
        <f aca="false">IFERROR(INDEX(Overall!$F$2:$F$1000,MATCH("RWF|23",Overall!$I$2:$I$1000,0)),"")</f>
        <v/>
      </c>
    </row>
    <row r="25" customFormat="false" ht="15" hidden="false" customHeight="false" outlineLevel="0" collapsed="false">
      <c r="A25" s="22" t="str">
        <f aca="false">IF(B25="","",COUNTIFS(Overall!$C$2:$C$1000,"RWF",Overall!$F$2:$F$1000,"&gt;"&amp;C25)+1)</f>
        <v/>
      </c>
      <c r="B25" s="11" t="str">
        <f aca="false">IFERROR(INDEX(Overall!$B$2:$B$1000,MATCH("RWF|24",Overall!$I$2:$I$1000,0)),"")</f>
        <v/>
      </c>
      <c r="C25" s="19" t="str">
        <f aca="false">IFERROR(INDEX(Overall!$F$2:$F$1000,MATCH("RWF|24",Overall!$I$2:$I$1000,0)),"")</f>
        <v/>
      </c>
    </row>
    <row r="26" customFormat="false" ht="15" hidden="false" customHeight="false" outlineLevel="0" collapsed="false">
      <c r="A26" s="22" t="str">
        <f aca="false">IF(B26="","",COUNTIFS(Overall!$C$2:$C$1000,"RWF",Overall!$F$2:$F$1000,"&gt;"&amp;C26)+1)</f>
        <v/>
      </c>
      <c r="B26" s="11" t="str">
        <f aca="false">IFERROR(INDEX(Overall!$B$2:$B$1000,MATCH("RWF|25",Overall!$I$2:$I$1000,0)),"")</f>
        <v/>
      </c>
      <c r="C26" s="19" t="str">
        <f aca="false">IFERROR(INDEX(Overall!$F$2:$F$1000,MATCH("RWF|25",Overall!$I$2:$I$1000,0)),"")</f>
        <v/>
      </c>
    </row>
    <row r="27" customFormat="false" ht="15" hidden="false" customHeight="false" outlineLevel="0" collapsed="false">
      <c r="A27" s="22" t="str">
        <f aca="false">IF(B27="","",COUNTIFS(Overall!$C$2:$C$1000,"RWF",Overall!$F$2:$F$1000,"&gt;"&amp;C27)+1)</f>
        <v/>
      </c>
      <c r="B27" s="11" t="str">
        <f aca="false">IFERROR(INDEX(Overall!$B$2:$B$1000,MATCH("RWF|26",Overall!$I$2:$I$1000,0)),"")</f>
        <v/>
      </c>
      <c r="C27" s="19" t="str">
        <f aca="false">IFERROR(INDEX(Overall!$F$2:$F$1000,MATCH("RWF|26",Overall!$I$2:$I$1000,0)),"")</f>
        <v/>
      </c>
    </row>
    <row r="28" customFormat="false" ht="15" hidden="false" customHeight="false" outlineLevel="0" collapsed="false">
      <c r="A28" s="22" t="str">
        <f aca="false">IF(B28="","",COUNTIFS(Overall!$C$2:$C$1000,"RWF",Overall!$F$2:$F$1000,"&gt;"&amp;C28)+1)</f>
        <v/>
      </c>
      <c r="B28" s="11" t="str">
        <f aca="false">IFERROR(INDEX(Overall!$B$2:$B$1000,MATCH("RWF|27",Overall!$I$2:$I$1000,0)),"")</f>
        <v/>
      </c>
      <c r="C28" s="19" t="str">
        <f aca="false">IFERROR(INDEX(Overall!$F$2:$F$1000,MATCH("RWF|27",Overall!$I$2:$I$1000,0)),"")</f>
        <v/>
      </c>
    </row>
    <row r="29" customFormat="false" ht="15" hidden="false" customHeight="false" outlineLevel="0" collapsed="false">
      <c r="A29" s="22" t="str">
        <f aca="false">IF(B29="","",COUNTIFS(Overall!$C$2:$C$1000,"RWF",Overall!$F$2:$F$1000,"&gt;"&amp;C29)+1)</f>
        <v/>
      </c>
      <c r="B29" s="11" t="str">
        <f aca="false">IFERROR(INDEX(Overall!$B$2:$B$1000,MATCH("RWF|28",Overall!$I$2:$I$1000,0)),"")</f>
        <v/>
      </c>
      <c r="C29" s="19" t="str">
        <f aca="false">IFERROR(INDEX(Overall!$F$2:$F$1000,MATCH("RWF|28",Overall!$I$2:$I$1000,0)),"")</f>
        <v/>
      </c>
    </row>
    <row r="30" customFormat="false" ht="15" hidden="false" customHeight="false" outlineLevel="0" collapsed="false">
      <c r="A30" s="22" t="str">
        <f aca="false">IF(B30="","",COUNTIFS(Overall!$C$2:$C$1000,"RWF",Overall!$F$2:$F$1000,"&gt;"&amp;C30)+1)</f>
        <v/>
      </c>
      <c r="B30" s="11" t="str">
        <f aca="false">IFERROR(INDEX(Overall!$B$2:$B$1000,MATCH("RWF|29",Overall!$I$2:$I$1000,0)),"")</f>
        <v/>
      </c>
      <c r="C30" s="19" t="str">
        <f aca="false">IFERROR(INDEX(Overall!$F$2:$F$1000,MATCH("RWF|29",Overall!$I$2:$I$1000,0)),"")</f>
        <v/>
      </c>
    </row>
    <row r="31" customFormat="false" ht="15" hidden="false" customHeight="false" outlineLevel="0" collapsed="false">
      <c r="A31" s="22" t="str">
        <f aca="false">IF(B31="","",COUNTIFS(Overall!$C$2:$C$1000,"RWF",Overall!$F$2:$F$1000,"&gt;"&amp;C31)+1)</f>
        <v/>
      </c>
      <c r="B31" s="11" t="str">
        <f aca="false">IFERROR(INDEX(Overall!$B$2:$B$1000,MATCH("RWF|30",Overall!$I$2:$I$1000,0)),"")</f>
        <v/>
      </c>
      <c r="C31" s="19" t="str">
        <f aca="false">IFERROR(INDEX(Overall!$F$2:$F$1000,MATCH("RWF|30",Overall!$I$2:$I$1000,0)),"")</f>
        <v/>
      </c>
    </row>
    <row r="32" customFormat="false" ht="15" hidden="false" customHeight="false" outlineLevel="0" collapsed="false">
      <c r="A32" s="22" t="str">
        <f aca="false">IF(B32="","",COUNTIFS(Overall!$C$2:$C$1000,"RWF",Overall!$F$2:$F$1000,"&gt;"&amp;C32)+1)</f>
        <v/>
      </c>
      <c r="B32" s="11" t="str">
        <f aca="false">IFERROR(INDEX(Overall!$B$2:$B$1000,MATCH("RWF|31",Overall!$I$2:$I$1000,0)),"")</f>
        <v/>
      </c>
      <c r="C32" s="19" t="str">
        <f aca="false">IFERROR(INDEX(Overall!$F$2:$F$1000,MATCH("RWF|31",Overall!$I$2:$I$1000,0)),"")</f>
        <v/>
      </c>
    </row>
    <row r="33" customFormat="false" ht="15" hidden="false" customHeight="false" outlineLevel="0" collapsed="false">
      <c r="A33" s="22" t="str">
        <f aca="false">IF(B33="","",COUNTIFS(Overall!$C$2:$C$1000,"RWF",Overall!$F$2:$F$1000,"&gt;"&amp;C33)+1)</f>
        <v/>
      </c>
      <c r="B33" s="11" t="str">
        <f aca="false">IFERROR(INDEX(Overall!$B$2:$B$1000,MATCH("RWF|32",Overall!$I$2:$I$1000,0)),"")</f>
        <v/>
      </c>
      <c r="C33" s="19" t="str">
        <f aca="false">IFERROR(INDEX(Overall!$F$2:$F$1000,MATCH("RWF|32",Overall!$I$2:$I$1000,0)),"")</f>
        <v/>
      </c>
    </row>
    <row r="34" customFormat="false" ht="15" hidden="false" customHeight="false" outlineLevel="0" collapsed="false">
      <c r="A34" s="22" t="str">
        <f aca="false">IF(B34="","",COUNTIFS(Overall!$C$2:$C$1000,"RWF",Overall!$F$2:$F$1000,"&gt;"&amp;C34)+1)</f>
        <v/>
      </c>
      <c r="B34" s="11" t="str">
        <f aca="false">IFERROR(INDEX(Overall!$B$2:$B$1000,MATCH("RWF|33",Overall!$I$2:$I$1000,0)),"")</f>
        <v/>
      </c>
      <c r="C34" s="19" t="str">
        <f aca="false">IFERROR(INDEX(Overall!$F$2:$F$1000,MATCH("RWF|33",Overall!$I$2:$I$1000,0)),"")</f>
        <v/>
      </c>
    </row>
    <row r="35" customFormat="false" ht="15" hidden="false" customHeight="false" outlineLevel="0" collapsed="false">
      <c r="A35" s="22" t="str">
        <f aca="false">IF(B35="","",COUNTIFS(Overall!$C$2:$C$1000,"RWF",Overall!$F$2:$F$1000,"&gt;"&amp;C35)+1)</f>
        <v/>
      </c>
      <c r="B35" s="11" t="str">
        <f aca="false">IFERROR(INDEX(Overall!$B$2:$B$1000,MATCH("RWF|34",Overall!$I$2:$I$1000,0)),"")</f>
        <v/>
      </c>
      <c r="C35" s="19" t="str">
        <f aca="false">IFERROR(INDEX(Overall!$F$2:$F$1000,MATCH("RWF|34",Overall!$I$2:$I$1000,0)),"")</f>
        <v/>
      </c>
    </row>
    <row r="36" customFormat="false" ht="15" hidden="false" customHeight="false" outlineLevel="0" collapsed="false">
      <c r="A36" s="22" t="str">
        <f aca="false">IF(B36="","",COUNTIFS(Overall!$C$2:$C$1000,"RWF",Overall!$F$2:$F$1000,"&gt;"&amp;C36)+1)</f>
        <v/>
      </c>
      <c r="B36" s="11" t="str">
        <f aca="false">IFERROR(INDEX(Overall!$B$2:$B$1000,MATCH("RWF|35",Overall!$I$2:$I$1000,0)),"")</f>
        <v/>
      </c>
      <c r="C36" s="19" t="str">
        <f aca="false">IFERROR(INDEX(Overall!$F$2:$F$1000,MATCH("RWF|35",Overall!$I$2:$I$1000,0)),"")</f>
        <v/>
      </c>
    </row>
    <row r="37" customFormat="false" ht="15" hidden="false" customHeight="false" outlineLevel="0" collapsed="false">
      <c r="A37" s="22" t="str">
        <f aca="false">IF(B37="","",COUNTIFS(Overall!$C$2:$C$1000,"RWF",Overall!$F$2:$F$1000,"&gt;"&amp;C37)+1)</f>
        <v/>
      </c>
      <c r="B37" s="11" t="str">
        <f aca="false">IFERROR(INDEX(Overall!$B$2:$B$1000,MATCH("RWF|36",Overall!$I$2:$I$1000,0)),"")</f>
        <v/>
      </c>
      <c r="C37" s="19" t="str">
        <f aca="false">IFERROR(INDEX(Overall!$F$2:$F$1000,MATCH("RWF|36",Overall!$I$2:$I$1000,0)),"")</f>
        <v/>
      </c>
    </row>
    <row r="38" customFormat="false" ht="15" hidden="false" customHeight="false" outlineLevel="0" collapsed="false">
      <c r="A38" s="22" t="str">
        <f aca="false">IF(B38="","",COUNTIFS(Overall!$C$2:$C$1000,"RWF",Overall!$F$2:$F$1000,"&gt;"&amp;C38)+1)</f>
        <v/>
      </c>
      <c r="B38" s="11" t="str">
        <f aca="false">IFERROR(INDEX(Overall!$B$2:$B$1000,MATCH("RWF|37",Overall!$I$2:$I$1000,0)),"")</f>
        <v/>
      </c>
      <c r="C38" s="19" t="str">
        <f aca="false">IFERROR(INDEX(Overall!$F$2:$F$1000,MATCH("RWF|37",Overall!$I$2:$I$1000,0)),"")</f>
        <v/>
      </c>
    </row>
    <row r="39" customFormat="false" ht="15" hidden="false" customHeight="false" outlineLevel="0" collapsed="false">
      <c r="A39" s="22" t="str">
        <f aca="false">IF(B39="","",COUNTIFS(Overall!$C$2:$C$1000,"RWF",Overall!$F$2:$F$1000,"&gt;"&amp;C39)+1)</f>
        <v/>
      </c>
      <c r="B39" s="11" t="str">
        <f aca="false">IFERROR(INDEX(Overall!$B$2:$B$1000,MATCH("RWF|38",Overall!$I$2:$I$1000,0)),"")</f>
        <v/>
      </c>
      <c r="C39" s="19" t="str">
        <f aca="false">IFERROR(INDEX(Overall!$F$2:$F$1000,MATCH("RWF|38",Overall!$I$2:$I$1000,0)),"")</f>
        <v/>
      </c>
    </row>
    <row r="40" customFormat="false" ht="15" hidden="false" customHeight="false" outlineLevel="0" collapsed="false">
      <c r="A40" s="22" t="str">
        <f aca="false">IF(B40="","",COUNTIFS(Overall!$C$2:$C$1000,"RWF",Overall!$F$2:$F$1000,"&gt;"&amp;C40)+1)</f>
        <v/>
      </c>
      <c r="B40" s="11" t="str">
        <f aca="false">IFERROR(INDEX(Overall!$B$2:$B$1000,MATCH("RWF|39",Overall!$I$2:$I$1000,0)),"")</f>
        <v/>
      </c>
      <c r="C40" s="19" t="str">
        <f aca="false">IFERROR(INDEX(Overall!$F$2:$F$1000,MATCH("RWF|39",Overall!$I$2:$I$1000,0)),"")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IF(B41="","",COUNTIFS(Overall!$C$2:$C$1000,"RWF",Overall!$F$2:$F$1000,"&gt;"&amp;C41)+1)</f>
        <v/>
      </c>
      <c r="B41" s="11" t="str">
        <f aca="false">IFERROR(INDEX(Overall!$B$2:$B$1000,MATCH("RWF|40",Overall!$I$2:$I$1000,0)),"")</f>
        <v/>
      </c>
      <c r="C41" s="19" t="str">
        <f aca="false">IFERROR(INDEX(Overall!$F$2:$F$1000,MATCH("RWF|40",Overall!$I$2:$I$1000,0)),"")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IF(B42="","",COUNTIFS(Overall!$C$2:$C$1000,"RWF",Overall!$F$2:$F$1000,"&gt;"&amp;C42)+1)</f>
        <v/>
      </c>
      <c r="B42" s="11" t="str">
        <f aca="false">IFERROR(INDEX(Overall!$B$2:$B$1000,MATCH("RWF|41",Overall!$I$2:$I$1000,0)),"")</f>
        <v/>
      </c>
      <c r="C42" s="19" t="str">
        <f aca="false">IFERROR(INDEX(Overall!$F$2:$F$1000,MATCH("RWF|41",Overall!$I$2:$I$1000,0)),"")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IF(B43="","",COUNTIFS(Overall!$C$2:$C$1000,"RWF",Overall!$F$2:$F$1000,"&gt;"&amp;C43)+1)</f>
        <v/>
      </c>
      <c r="B43" s="11" t="str">
        <f aca="false">IFERROR(INDEX(Overall!$B$2:$B$1000,MATCH("RWF|42",Overall!$I$2:$I$1000,0)),"")</f>
        <v/>
      </c>
      <c r="C43" s="19" t="str">
        <f aca="false">IFERROR(INDEX(Overall!$F$2:$F$1000,MATCH("RWF|42",Overall!$I$2:$I$1000,0)),"")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IF(B44="","",COUNTIFS(Overall!$C$2:$C$1000,"RWF",Overall!$F$2:$F$1000,"&gt;"&amp;C44)+1)</f>
        <v/>
      </c>
      <c r="B44" s="11" t="str">
        <f aca="false">IFERROR(INDEX(Overall!$B$2:$B$1000,MATCH("RWF|43",Overall!$I$2:$I$1000,0)),"")</f>
        <v/>
      </c>
      <c r="C44" s="19" t="str">
        <f aca="false">IFERROR(INDEX(Overall!$F$2:$F$1000,MATCH("RWF|43",Overall!$I$2:$I$1000,0)),"")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IF(B45="","",COUNTIFS(Overall!$C$2:$C$1000,"RWF",Overall!$F$2:$F$1000,"&gt;"&amp;C45)+1)</f>
        <v/>
      </c>
      <c r="B45" s="11" t="str">
        <f aca="false">IFERROR(INDEX(Overall!$B$2:$B$1000,MATCH("RWF|44",Overall!$I$2:$I$1000,0)),"")</f>
        <v/>
      </c>
      <c r="C45" s="19" t="str">
        <f aca="false">IFERROR(INDEX(Overall!$F$2:$F$1000,MATCH("RWF|44",Overall!$I$2:$I$1000,0)),"")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IF(B46="","",COUNTIFS(Overall!$C$2:$C$1000,"RWF",Overall!$F$2:$F$1000,"&gt;"&amp;C46)+1)</f>
        <v/>
      </c>
      <c r="B46" s="11" t="str">
        <f aca="false">IFERROR(INDEX(Overall!$B$2:$B$1000,MATCH("RWF|45",Overall!$I$2:$I$1000,0)),"")</f>
        <v/>
      </c>
      <c r="C46" s="19" t="str">
        <f aca="false">IFERROR(INDEX(Overall!$F$2:$F$1000,MATCH("RWF|45",Overall!$I$2:$I$1000,0)),"")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IF(B47="","",COUNTIFS(Overall!$C$2:$C$1000,"RWF",Overall!$F$2:$F$1000,"&gt;"&amp;C47)+1)</f>
        <v/>
      </c>
      <c r="B47" s="11" t="str">
        <f aca="false">IFERROR(INDEX(Overall!$B$2:$B$1000,MATCH("RWF|46",Overall!$I$2:$I$1000,0)),"")</f>
        <v/>
      </c>
      <c r="C47" s="19" t="str">
        <f aca="false">IFERROR(INDEX(Overall!$F$2:$F$1000,MATCH("RWF|46",Overall!$I$2:$I$1000,0)),"")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IF(B48="","",COUNTIFS(Overall!$C$2:$C$1000,"RWF",Overall!$F$2:$F$1000,"&gt;"&amp;C48)+1)</f>
        <v/>
      </c>
      <c r="B48" s="11" t="str">
        <f aca="false">IFERROR(INDEX(Overall!$B$2:$B$1000,MATCH("RWF|47",Overall!$I$2:$I$1000,0)),"")</f>
        <v/>
      </c>
      <c r="C48" s="19" t="str">
        <f aca="false">IFERROR(INDEX(Overall!$F$2:$F$1000,MATCH("RWF|47",Overall!$I$2:$I$1000,0)),"")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IF(B49="","",COUNTIFS(Overall!$C$2:$C$1000,"RWF",Overall!$F$2:$F$1000,"&gt;"&amp;C49)+1)</f>
        <v/>
      </c>
      <c r="B49" s="11" t="str">
        <f aca="false">IFERROR(INDEX(Overall!$B$2:$B$1000,MATCH("RWF|48",Overall!$I$2:$I$1000,0)),"")</f>
        <v/>
      </c>
      <c r="C49" s="19" t="str">
        <f aca="false">IFERROR(INDEX(Overall!$F$2:$F$1000,MATCH("RWF|48",Overall!$I$2:$I$1000,0)),"")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IF(B50="","",COUNTIFS(Overall!$C$2:$C$1000,"RWF",Overall!$F$2:$F$1000,"&gt;"&amp;C50)+1)</f>
        <v/>
      </c>
      <c r="B50" s="11" t="str">
        <f aca="false">IFERROR(INDEX(Overall!$B$2:$B$1000,MATCH("RWF|49",Overall!$I$2:$I$1000,0)),"")</f>
        <v/>
      </c>
      <c r="C50" s="19" t="str">
        <f aca="false">IFERROR(INDEX(Overall!$F$2:$F$1000,MATCH("RWF|49",Overall!$I$2:$I$1000,0)),"")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IF(B51="","",COUNTIFS(Overall!$C$2:$C$1000,"RWF",Overall!$F$2:$F$1000,"&gt;"&amp;C51)+1)</f>
        <v/>
      </c>
      <c r="B51" s="11" t="str">
        <f aca="false">IFERROR(INDEX(Overall!$B$2:$B$1000,MATCH("RWF|50",Overall!$I$2:$I$1000,0)),"")</f>
        <v/>
      </c>
      <c r="C51" s="19" t="str">
        <f aca="false">IFERROR(INDEX(Overall!$F$2:$F$1000,MATCH("RWF|50",Overall!$I$2:$I$1000,0)),"")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IF(B52="","",COUNTIFS(Overall!$C$2:$C$1000,"RWF",Overall!$F$2:$F$1000,"&gt;"&amp;C52)+1)</f>
        <v/>
      </c>
      <c r="B52" s="11" t="str">
        <f aca="false">IFERROR(INDEX(Overall!$B$2:$B$1000,MATCH("RWF|51",Overall!$I$2:$I$1000,0)),"")</f>
        <v/>
      </c>
      <c r="C52" s="19" t="str">
        <f aca="false">IFERROR(INDEX(Overall!$F$2:$F$1000,MATCH("RWF|51",Overall!$I$2:$I$1000,0)),"")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IF(B53="","",COUNTIFS(Overall!$C$2:$C$1000,"RWF",Overall!$F$2:$F$1000,"&gt;"&amp;C53)+1)</f>
        <v/>
      </c>
      <c r="B53" s="11" t="str">
        <f aca="false">IFERROR(INDEX(Overall!$B$2:$B$1000,MATCH("RWF|52",Overall!$I$2:$I$1000,0)),"")</f>
        <v/>
      </c>
      <c r="C53" s="19" t="str">
        <f aca="false">IFERROR(INDEX(Overall!$F$2:$F$1000,MATCH("RWF|52",Overall!$I$2:$I$1000,0)),"")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IF(B54="","",COUNTIFS(Overall!$C$2:$C$1000,"RWF",Overall!$F$2:$F$1000,"&gt;"&amp;C54)+1)</f>
        <v/>
      </c>
      <c r="B54" s="11" t="str">
        <f aca="false">IFERROR(INDEX(Overall!$B$2:$B$1000,MATCH("RWF|53",Overall!$I$2:$I$1000,0)),"")</f>
        <v/>
      </c>
      <c r="C54" s="19" t="str">
        <f aca="false">IFERROR(INDEX(Overall!$F$2:$F$1000,MATCH("RWF|53",Overall!$I$2:$I$1000,0)),"")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IF(B55="","",COUNTIFS(Overall!$C$2:$C$1000,"RWF",Overall!$F$2:$F$1000,"&gt;"&amp;C55)+1)</f>
        <v/>
      </c>
      <c r="B55" s="11" t="str">
        <f aca="false">IFERROR(INDEX(Overall!$B$2:$B$1000,MATCH("RWF|54",Overall!$I$2:$I$1000,0)),"")</f>
        <v/>
      </c>
      <c r="C55" s="19" t="str">
        <f aca="false">IFERROR(INDEX(Overall!$F$2:$F$1000,MATCH("RWF|54",Overall!$I$2:$I$1000,0)),"")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IF(B56="","",COUNTIFS(Overall!$C$2:$C$1000,"RWF",Overall!$F$2:$F$1000,"&gt;"&amp;C56)+1)</f>
        <v/>
      </c>
      <c r="B56" s="11" t="str">
        <f aca="false">IFERROR(INDEX(Overall!$B$2:$B$1000,MATCH("RWF|55",Overall!$I$2:$I$1000,0)),"")</f>
        <v/>
      </c>
      <c r="C56" s="19" t="str">
        <f aca="false">IFERROR(INDEX(Overall!$F$2:$F$1000,MATCH("RWF|55",Overall!$I$2:$I$1000,0)),"")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IF(B57="","",COUNTIFS(Overall!$C$2:$C$1000,"RWF",Overall!$F$2:$F$1000,"&gt;"&amp;C57)+1)</f>
        <v/>
      </c>
      <c r="B57" s="11" t="str">
        <f aca="false">IFERROR(INDEX(Overall!$B$2:$B$1000,MATCH("RWF|56",Overall!$I$2:$I$1000,0)),"")</f>
        <v/>
      </c>
      <c r="C57" s="19" t="str">
        <f aca="false">IFERROR(INDEX(Overall!$F$2:$F$1000,MATCH("RWF|56",Overall!$I$2:$I$1000,0)),"")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IF(B58="","",COUNTIFS(Overall!$C$2:$C$1000,"RWF",Overall!$F$2:$F$1000,"&gt;"&amp;C58)+1)</f>
        <v/>
      </c>
      <c r="B58" s="11" t="str">
        <f aca="false">IFERROR(INDEX(Overall!$B$2:$B$1000,MATCH("RWF|57",Overall!$I$2:$I$1000,0)),"")</f>
        <v/>
      </c>
      <c r="C58" s="19" t="str">
        <f aca="false">IFERROR(INDEX(Overall!$F$2:$F$1000,MATCH("RWF|57",Overall!$I$2:$I$1000,0)),"")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IF(B59="","",COUNTIFS(Overall!$C$2:$C$1000,"RWF",Overall!$F$2:$F$1000,"&gt;"&amp;C59)+1)</f>
        <v/>
      </c>
      <c r="B59" s="11" t="str">
        <f aca="false">IFERROR(INDEX(Overall!$B$2:$B$1000,MATCH("RWF|58",Overall!$I$2:$I$1000,0)),"")</f>
        <v/>
      </c>
      <c r="C59" s="19" t="str">
        <f aca="false">IFERROR(INDEX(Overall!$F$2:$F$1000,MATCH("RWF|58",Overall!$I$2:$I$1000,0)),"")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IF(B60="","",COUNTIFS(Overall!$C$2:$C$1000,"RWF",Overall!$F$2:$F$1000,"&gt;"&amp;C60)+1)</f>
        <v/>
      </c>
      <c r="B60" s="11" t="str">
        <f aca="false">IFERROR(INDEX(Overall!$B$2:$B$1000,MATCH("RWF|59",Overall!$I$2:$I$1000,0)),"")</f>
        <v/>
      </c>
      <c r="C60" s="19" t="str">
        <f aca="false">IFERROR(INDEX(Overall!$F$2:$F$1000,MATCH("RWF|59",Overall!$I$2:$I$1000,0)),"")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IF(B61="","",COUNTIFS(Overall!$C$2:$C$1000,"RWF",Overall!$F$2:$F$1000,"&gt;"&amp;C61)+1)</f>
        <v/>
      </c>
      <c r="B61" s="11" t="str">
        <f aca="false">IFERROR(INDEX(Overall!$B$2:$B$1000,MATCH("RWF|60",Overall!$I$2:$I$1000,0)),"")</f>
        <v/>
      </c>
      <c r="C61" s="19" t="str">
        <f aca="false">IFERROR(INDEX(Overall!$F$2:$F$1000,MATCH("RWF|60",Overall!$I$2:$I$1000,0)),"")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IF(B62="","",COUNTIFS(Overall!$C$2:$C$1000,"RWF",Overall!$F$2:$F$1000,"&gt;"&amp;C62)+1)</f>
        <v/>
      </c>
      <c r="B62" s="11" t="str">
        <f aca="false">IFERROR(INDEX(Overall!$B$2:$B$1000,MATCH("RWF|61",Overall!$I$2:$I$1000,0)),"")</f>
        <v/>
      </c>
      <c r="C62" s="19" t="str">
        <f aca="false">IFERROR(INDEX(Overall!$F$2:$F$1000,MATCH("RWF|61",Overall!$I$2:$I$1000,0)),"")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IF(B63="","",COUNTIFS(Overall!$C$2:$C$1000,"RWF",Overall!$F$2:$F$1000,"&gt;"&amp;C63)+1)</f>
        <v/>
      </c>
      <c r="B63" s="11" t="str">
        <f aca="false">IFERROR(INDEX(Overall!$B$2:$B$1000,MATCH("RWF|62",Overall!$I$2:$I$1000,0)),"")</f>
        <v/>
      </c>
      <c r="C63" s="19" t="str">
        <f aca="false">IFERROR(INDEX(Overall!$F$2:$F$1000,MATCH("RWF|62",Overall!$I$2:$I$1000,0)),"")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IF(B64="","",COUNTIFS(Overall!$C$2:$C$1000,"RWF",Overall!$F$2:$F$1000,"&gt;"&amp;C64)+1)</f>
        <v/>
      </c>
      <c r="B64" s="11" t="str">
        <f aca="false">IFERROR(INDEX(Overall!$B$2:$B$1000,MATCH("RWF|63",Overall!$I$2:$I$1000,0)),"")</f>
        <v/>
      </c>
      <c r="C64" s="19" t="str">
        <f aca="false">IFERROR(INDEX(Overall!$F$2:$F$1000,MATCH("RWF|63",Overall!$I$2:$I$1000,0)),"")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IF(B65="","",COUNTIFS(Overall!$C$2:$C$1000,"RWF",Overall!$F$2:$F$1000,"&gt;"&amp;C65)+1)</f>
        <v/>
      </c>
      <c r="B65" s="11" t="str">
        <f aca="false">IFERROR(INDEX(Overall!$B$2:$B$1000,MATCH("RWF|64",Overall!$I$2:$I$1000,0)),"")</f>
        <v/>
      </c>
      <c r="C65" s="19" t="str">
        <f aca="false">IFERROR(INDEX(Overall!$F$2:$F$1000,MATCH("RWF|64",Overall!$I$2:$I$1000,0)),"")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IF(B66="","",COUNTIFS(Overall!$C$2:$C$1000,"RWF",Overall!$F$2:$F$1000,"&gt;"&amp;C66)+1)</f>
        <v/>
      </c>
      <c r="B66" s="11" t="str">
        <f aca="false">IFERROR(INDEX(Overall!$B$2:$B$1000,MATCH("RWF|65",Overall!$I$2:$I$1000,0)),"")</f>
        <v/>
      </c>
      <c r="C66" s="19" t="str">
        <f aca="false">IFERROR(INDEX(Overall!$F$2:$F$1000,MATCH("RWF|65",Overall!$I$2:$I$1000,0)),"")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IF(B67="","",COUNTIFS(Overall!$C$2:$C$1000,"RWF",Overall!$F$2:$F$1000,"&gt;"&amp;C67)+1)</f>
        <v/>
      </c>
      <c r="B67" s="11" t="str">
        <f aca="false">IFERROR(INDEX(Overall!$B$2:$B$1000,MATCH("RWF|66",Overall!$I$2:$I$1000,0)),"")</f>
        <v/>
      </c>
      <c r="C67" s="19" t="str">
        <f aca="false">IFERROR(INDEX(Overall!$F$2:$F$1000,MATCH("RWF|66",Overall!$I$2:$I$1000,0)),"")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IF(B68="","",COUNTIFS(Overall!$C$2:$C$1000,"RWF",Overall!$F$2:$F$1000,"&gt;"&amp;C68)+1)</f>
        <v/>
      </c>
      <c r="B68" s="11" t="str">
        <f aca="false">IFERROR(INDEX(Overall!$B$2:$B$1000,MATCH("RWF|67",Overall!$I$2:$I$1000,0)),"")</f>
        <v/>
      </c>
      <c r="C68" s="19" t="str">
        <f aca="false">IFERROR(INDEX(Overall!$F$2:$F$1000,MATCH("RWF|67",Overall!$I$2:$I$1000,0)),"")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IF(B69="","",COUNTIFS(Overall!$C$2:$C$1000,"RWF",Overall!$F$2:$F$1000,"&gt;"&amp;C69)+1)</f>
        <v/>
      </c>
      <c r="B69" s="11" t="str">
        <f aca="false">IFERROR(INDEX(Overall!$B$2:$B$1000,MATCH("RWF|68",Overall!$I$2:$I$1000,0)),"")</f>
        <v/>
      </c>
      <c r="C69" s="19" t="str">
        <f aca="false">IFERROR(INDEX(Overall!$F$2:$F$1000,MATCH("RWF|68",Overall!$I$2:$I$1000,0)),"")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IF(B70="","",COUNTIFS(Overall!$C$2:$C$1000,"RWF",Overall!$F$2:$F$1000,"&gt;"&amp;C70)+1)</f>
        <v/>
      </c>
      <c r="B70" s="11" t="str">
        <f aca="false">IFERROR(INDEX(Overall!$B$2:$B$1000,MATCH("RWF|69",Overall!$I$2:$I$1000,0)),"")</f>
        <v/>
      </c>
      <c r="C70" s="19" t="str">
        <f aca="false">IFERROR(INDEX(Overall!$F$2:$F$1000,MATCH("RWF|69",Overall!$I$2:$I$1000,0)),"")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IF(B71="","",COUNTIFS(Overall!$C$2:$C$1000,"RWF",Overall!$F$2:$F$1000,"&gt;"&amp;C71)+1)</f>
        <v/>
      </c>
      <c r="B71" s="11" t="str">
        <f aca="false">IFERROR(INDEX(Overall!$B$2:$B$1000,MATCH("RWF|70",Overall!$I$2:$I$1000,0)),"")</f>
        <v/>
      </c>
      <c r="C71" s="19" t="str">
        <f aca="false">IFERROR(INDEX(Overall!$F$2:$F$1000,MATCH("RWF|70",Overall!$I$2:$I$1000,0)),"")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IF(B72="","",COUNTIFS(Overall!$C$2:$C$1000,"RWF",Overall!$F$2:$F$1000,"&gt;"&amp;C72)+1)</f>
        <v/>
      </c>
      <c r="B72" s="11" t="str">
        <f aca="false">IFERROR(INDEX(Overall!$B$2:$B$1000,MATCH("RWF|71",Overall!$I$2:$I$1000,0)),"")</f>
        <v/>
      </c>
      <c r="C72" s="19" t="str">
        <f aca="false">IFERROR(INDEX(Overall!$F$2:$F$1000,MATCH("RWF|71",Overall!$I$2:$I$1000,0)),"")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IF(B73="","",COUNTIFS(Overall!$C$2:$C$1000,"RWF",Overall!$F$2:$F$1000,"&gt;"&amp;C73)+1)</f>
        <v/>
      </c>
      <c r="B73" s="11" t="str">
        <f aca="false">IFERROR(INDEX(Overall!$B$2:$B$1000,MATCH("RWF|72",Overall!$I$2:$I$1000,0)),"")</f>
        <v/>
      </c>
      <c r="C73" s="19" t="str">
        <f aca="false">IFERROR(INDEX(Overall!$F$2:$F$1000,MATCH("RWF|72",Overall!$I$2:$I$1000,0)),"")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IF(B74="","",COUNTIFS(Overall!$C$2:$C$1000,"RWF",Overall!$F$2:$F$1000,"&gt;"&amp;C74)+1)</f>
        <v/>
      </c>
      <c r="B74" s="11" t="str">
        <f aca="false">IFERROR(INDEX(Overall!$B$2:$B$1000,MATCH("RWF|73",Overall!$I$2:$I$1000,0)),"")</f>
        <v/>
      </c>
      <c r="C74" s="19" t="str">
        <f aca="false">IFERROR(INDEX(Overall!$F$2:$F$1000,MATCH("RWF|73",Overall!$I$2:$I$1000,0)),"")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IF(B75="","",COUNTIFS(Overall!$C$2:$C$1000,"RWF",Overall!$F$2:$F$1000,"&gt;"&amp;C75)+1)</f>
        <v/>
      </c>
      <c r="B75" s="11" t="str">
        <f aca="false">IFERROR(INDEX(Overall!$B$2:$B$1000,MATCH("RWF|74",Overall!$I$2:$I$1000,0)),"")</f>
        <v/>
      </c>
      <c r="C75" s="19" t="str">
        <f aca="false">IFERROR(INDEX(Overall!$F$2:$F$1000,MATCH("RWF|74",Overall!$I$2:$I$1000,0)),"")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IF(B76="","",COUNTIFS(Overall!$C$2:$C$1000,"RWF",Overall!$F$2:$F$1000,"&gt;"&amp;C76)+1)</f>
        <v/>
      </c>
      <c r="B76" s="11" t="str">
        <f aca="false">IFERROR(INDEX(Overall!$B$2:$B$1000,MATCH("RWF|75",Overall!$I$2:$I$1000,0)),"")</f>
        <v/>
      </c>
      <c r="C76" s="19" t="str">
        <f aca="false">IFERROR(INDEX(Overall!$F$2:$F$1000,MATCH("RWF|75",Overall!$I$2:$I$1000,0)),"")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IF(B77="","",COUNTIFS(Overall!$C$2:$C$1000,"RWF",Overall!$F$2:$F$1000,"&gt;"&amp;C77)+1)</f>
        <v/>
      </c>
      <c r="B77" s="11" t="str">
        <f aca="false">IFERROR(INDEX(Overall!$B$2:$B$1000,MATCH("RWF|76",Overall!$I$2:$I$1000,0)),"")</f>
        <v/>
      </c>
      <c r="C77" s="19" t="str">
        <f aca="false">IFERROR(INDEX(Overall!$F$2:$F$1000,MATCH("RWF|76",Overall!$I$2:$I$1000,0)),"")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IF(B78="","",COUNTIFS(Overall!$C$2:$C$1000,"RWF",Overall!$F$2:$F$1000,"&gt;"&amp;C78)+1)</f>
        <v/>
      </c>
      <c r="B78" s="11" t="str">
        <f aca="false">IFERROR(INDEX(Overall!$B$2:$B$1000,MATCH("RWF|77",Overall!$I$2:$I$1000,0)),"")</f>
        <v/>
      </c>
      <c r="C78" s="19" t="str">
        <f aca="false">IFERROR(INDEX(Overall!$F$2:$F$1000,MATCH("RWF|77",Overall!$I$2:$I$1000,0)),"")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IF(B79="","",COUNTIFS(Overall!$C$2:$C$1000,"RWF",Overall!$F$2:$F$1000,"&gt;"&amp;C79)+1)</f>
        <v/>
      </c>
      <c r="B79" s="11" t="str">
        <f aca="false">IFERROR(INDEX(Overall!$B$2:$B$1000,MATCH("RWF|78",Overall!$I$2:$I$1000,0)),"")</f>
        <v/>
      </c>
      <c r="C79" s="19" t="str">
        <f aca="false">IFERROR(INDEX(Overall!$F$2:$F$1000,MATCH("RWF|78",Overall!$I$2:$I$1000,0)),"")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IF(B80="","",COUNTIFS(Overall!$C$2:$C$1000,"RWF",Overall!$F$2:$F$1000,"&gt;"&amp;C80)+1)</f>
        <v/>
      </c>
      <c r="B80" s="11" t="str">
        <f aca="false">IFERROR(INDEX(Overall!$B$2:$B$1000,MATCH("RWF|79",Overall!$I$2:$I$1000,0)),"")</f>
        <v/>
      </c>
      <c r="C80" s="19" t="str">
        <f aca="false">IFERROR(INDEX(Overall!$F$2:$F$1000,MATCH("RWF|79",Overall!$I$2:$I$1000,0)),"")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IF(B81="","",COUNTIFS(Overall!$C$2:$C$1000,"RWF",Overall!$F$2:$F$1000,"&gt;"&amp;C81)+1)</f>
        <v/>
      </c>
      <c r="B81" s="11" t="str">
        <f aca="false">IFERROR(INDEX(Overall!$B$2:$B$1000,MATCH("RWF|80",Overall!$I$2:$I$1000,0)),"")</f>
        <v/>
      </c>
      <c r="C81" s="19" t="str">
        <f aca="false">IFERROR(INDEX(Overall!$F$2:$F$1000,MATCH("RWF|80",Overall!$I$2:$I$1000,0)),"")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IF(B82="","",COUNTIFS(Overall!$C$2:$C$1000,"RWF",Overall!$F$2:$F$1000,"&gt;"&amp;C82)+1)</f>
        <v/>
      </c>
      <c r="B82" s="11" t="str">
        <f aca="false">IFERROR(INDEX(Overall!$B$2:$B$1000,MATCH("RWF|81",Overall!$I$2:$I$1000,0)),"")</f>
        <v/>
      </c>
      <c r="C82" s="19" t="str">
        <f aca="false">IFERROR(INDEX(Overall!$F$2:$F$1000,MATCH("RWF|81",Overall!$I$2:$I$1000,0)),"")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IF(B83="","",COUNTIFS(Overall!$C$2:$C$1000,"RWF",Overall!$F$2:$F$1000,"&gt;"&amp;C83)+1)</f>
        <v/>
      </c>
      <c r="B83" s="11" t="str">
        <f aca="false">IFERROR(INDEX(Overall!$B$2:$B$1000,MATCH("RWF|82",Overall!$I$2:$I$1000,0)),"")</f>
        <v/>
      </c>
      <c r="C83" s="19" t="str">
        <f aca="false">IFERROR(INDEX(Overall!$F$2:$F$1000,MATCH("RWF|82",Overall!$I$2:$I$1000,0)),"")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IF(B84="","",COUNTIFS(Overall!$C$2:$C$1000,"RWF",Overall!$F$2:$F$1000,"&gt;"&amp;C84)+1)</f>
        <v/>
      </c>
      <c r="B84" s="11" t="str">
        <f aca="false">IFERROR(INDEX(Overall!$B$2:$B$1000,MATCH("RWF|83",Overall!$I$2:$I$1000,0)),"")</f>
        <v/>
      </c>
      <c r="C84" s="19" t="str">
        <f aca="false">IFERROR(INDEX(Overall!$F$2:$F$1000,MATCH("RWF|83",Overall!$I$2:$I$1000,0)),"")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IF(B85="","",COUNTIFS(Overall!$C$2:$C$1000,"RWF",Overall!$F$2:$F$1000,"&gt;"&amp;C85)+1)</f>
        <v/>
      </c>
      <c r="B85" s="11" t="str">
        <f aca="false">IFERROR(INDEX(Overall!$B$2:$B$1000,MATCH("RWF|84",Overall!$I$2:$I$1000,0)),"")</f>
        <v/>
      </c>
      <c r="C85" s="19" t="str">
        <f aca="false">IFERROR(INDEX(Overall!$F$2:$F$1000,MATCH("RWF|84",Overall!$I$2:$I$1000,0)),"")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IF(B86="","",COUNTIFS(Overall!$C$2:$C$1000,"RWF",Overall!$F$2:$F$1000,"&gt;"&amp;C86)+1)</f>
        <v/>
      </c>
      <c r="B86" s="11" t="str">
        <f aca="false">IFERROR(INDEX(Overall!$B$2:$B$1000,MATCH("RWF|85",Overall!$I$2:$I$1000,0)),"")</f>
        <v/>
      </c>
      <c r="C86" s="19" t="str">
        <f aca="false">IFERROR(INDEX(Overall!$F$2:$F$1000,MATCH("RWF|85",Overall!$I$2:$I$1000,0)),"")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IF(B87="","",COUNTIFS(Overall!$C$2:$C$1000,"RWF",Overall!$F$2:$F$1000,"&gt;"&amp;C87)+1)</f>
        <v/>
      </c>
      <c r="B87" s="11" t="str">
        <f aca="false">IFERROR(INDEX(Overall!$B$2:$B$1000,MATCH("RWF|86",Overall!$I$2:$I$1000,0)),"")</f>
        <v/>
      </c>
      <c r="C87" s="19" t="str">
        <f aca="false">IFERROR(INDEX(Overall!$F$2:$F$1000,MATCH("RWF|86",Overall!$I$2:$I$1000,0)),"")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IF(B88="","",COUNTIFS(Overall!$C$2:$C$1000,"RWF",Overall!$F$2:$F$1000,"&gt;"&amp;C88)+1)</f>
        <v/>
      </c>
      <c r="B88" s="11" t="str">
        <f aca="false">IFERROR(INDEX(Overall!$B$2:$B$1000,MATCH("RWF|87",Overall!$I$2:$I$1000,0)),"")</f>
        <v/>
      </c>
      <c r="C88" s="19" t="str">
        <f aca="false">IFERROR(INDEX(Overall!$F$2:$F$1000,MATCH("RWF|87",Overall!$I$2:$I$1000,0)),"")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IF(B89="","",COUNTIFS(Overall!$C$2:$C$1000,"RWF",Overall!$F$2:$F$1000,"&gt;"&amp;C89)+1)</f>
        <v/>
      </c>
      <c r="B89" s="11" t="str">
        <f aca="false">IFERROR(INDEX(Overall!$B$2:$B$1000,MATCH("RWF|88",Overall!$I$2:$I$1000,0)),"")</f>
        <v/>
      </c>
      <c r="C89" s="19" t="str">
        <f aca="false">IFERROR(INDEX(Overall!$F$2:$F$1000,MATCH("RWF|88",Overall!$I$2:$I$1000,0)),"")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IF(B90="","",COUNTIFS(Overall!$C$2:$C$1000,"RWF",Overall!$F$2:$F$1000,"&gt;"&amp;C90)+1)</f>
        <v/>
      </c>
      <c r="B90" s="11" t="str">
        <f aca="false">IFERROR(INDEX(Overall!$B$2:$B$1000,MATCH("RWF|89",Overall!$I$2:$I$1000,0)),"")</f>
        <v/>
      </c>
      <c r="C90" s="19" t="str">
        <f aca="false">IFERROR(INDEX(Overall!$F$2:$F$1000,MATCH("RWF|89",Overall!$I$2:$I$1000,0)),"")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IF(B91="","",COUNTIFS(Overall!$C$2:$C$1000,"RWF",Overall!$F$2:$F$1000,"&gt;"&amp;C91)+1)</f>
        <v/>
      </c>
      <c r="B91" s="11" t="str">
        <f aca="false">IFERROR(INDEX(Overall!$B$2:$B$1000,MATCH("RWF|90",Overall!$I$2:$I$1000,0)),"")</f>
        <v/>
      </c>
      <c r="C91" s="19" t="str">
        <f aca="false">IFERROR(INDEX(Overall!$F$2:$F$1000,MATCH("RWF|90",Overall!$I$2:$I$1000,0)),"")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IF(B92="","",COUNTIFS(Overall!$C$2:$C$1000,"RWF",Overall!$F$2:$F$1000,"&gt;"&amp;C92)+1)</f>
        <v/>
      </c>
      <c r="B92" s="11" t="str">
        <f aca="false">IFERROR(INDEX(Overall!$B$2:$B$1000,MATCH("RWF|91",Overall!$I$2:$I$1000,0)),"")</f>
        <v/>
      </c>
      <c r="C92" s="19" t="str">
        <f aca="false">IFERROR(INDEX(Overall!$F$2:$F$1000,MATCH("RWF|91",Overall!$I$2:$I$1000,0)),"")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IF(B93="","",COUNTIFS(Overall!$C$2:$C$1000,"RWF",Overall!$F$2:$F$1000,"&gt;"&amp;C93)+1)</f>
        <v/>
      </c>
      <c r="B93" s="11" t="str">
        <f aca="false">IFERROR(INDEX(Overall!$B$2:$B$1000,MATCH("RWF|92",Overall!$I$2:$I$1000,0)),"")</f>
        <v/>
      </c>
      <c r="C93" s="19" t="str">
        <f aca="false">IFERROR(INDEX(Overall!$F$2:$F$1000,MATCH("RWF|92",Overall!$I$2:$I$1000,0)),"")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IF(B94="","",COUNTIFS(Overall!$C$2:$C$1000,"RWF",Overall!$F$2:$F$1000,"&gt;"&amp;C94)+1)</f>
        <v/>
      </c>
      <c r="B94" s="11" t="str">
        <f aca="false">IFERROR(INDEX(Overall!$B$2:$B$1000,MATCH("RWF|93",Overall!$I$2:$I$1000,0)),"")</f>
        <v/>
      </c>
      <c r="C94" s="19" t="str">
        <f aca="false">IFERROR(INDEX(Overall!$F$2:$F$1000,MATCH("RWF|93",Overall!$I$2:$I$1000,0)),"")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IF(B95="","",COUNTIFS(Overall!$C$2:$C$1000,"RWF",Overall!$F$2:$F$1000,"&gt;"&amp;C95)+1)</f>
        <v/>
      </c>
      <c r="B95" s="11" t="str">
        <f aca="false">IFERROR(INDEX(Overall!$B$2:$B$1000,MATCH("RWF|94",Overall!$I$2:$I$1000,0)),"")</f>
        <v/>
      </c>
      <c r="C95" s="19" t="str">
        <f aca="false">IFERROR(INDEX(Overall!$F$2:$F$1000,MATCH("RWF|94",Overall!$I$2:$I$1000,0)),"")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IF(B96="","",COUNTIFS(Overall!$C$2:$C$1000,"RWF",Overall!$F$2:$F$1000,"&gt;"&amp;C96)+1)</f>
        <v/>
      </c>
      <c r="B96" s="11" t="str">
        <f aca="false">IFERROR(INDEX(Overall!$B$2:$B$1000,MATCH("RWF|95",Overall!$I$2:$I$1000,0)),"")</f>
        <v/>
      </c>
      <c r="C96" s="19" t="str">
        <f aca="false">IFERROR(INDEX(Overall!$F$2:$F$1000,MATCH("RWF|95",Overall!$I$2:$I$1000,0)),"")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IF(B97="","",COUNTIFS(Overall!$C$2:$C$1000,"RWF",Overall!$F$2:$F$1000,"&gt;"&amp;C97)+1)</f>
        <v/>
      </c>
      <c r="B97" s="11" t="str">
        <f aca="false">IFERROR(INDEX(Overall!$B$2:$B$1000,MATCH("RWF|96",Overall!$I$2:$I$1000,0)),"")</f>
        <v/>
      </c>
      <c r="C97" s="19" t="str">
        <f aca="false">IFERROR(INDEX(Overall!$F$2:$F$1000,MATCH("RWF|96",Overall!$I$2:$I$1000,0)),"")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IF(B98="","",COUNTIFS(Overall!$C$2:$C$1000,"RWF",Overall!$F$2:$F$1000,"&gt;"&amp;C98)+1)</f>
        <v/>
      </c>
      <c r="B98" s="11" t="str">
        <f aca="false">IFERROR(INDEX(Overall!$B$2:$B$1000,MATCH("RWF|97",Overall!$I$2:$I$1000,0)),"")</f>
        <v/>
      </c>
      <c r="C98" s="19" t="str">
        <f aca="false">IFERROR(INDEX(Overall!$F$2:$F$1000,MATCH("RWF|97",Overall!$I$2:$I$1000,0)),"")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IF(B99="","",COUNTIFS(Overall!$C$2:$C$1000,"RWF",Overall!$F$2:$F$1000,"&gt;"&amp;C99)+1)</f>
        <v/>
      </c>
      <c r="B99" s="11" t="str">
        <f aca="false">IFERROR(INDEX(Overall!$B$2:$B$1000,MATCH("RWF|98",Overall!$I$2:$I$1000,0)),"")</f>
        <v/>
      </c>
      <c r="C99" s="19" t="str">
        <f aca="false">IFERROR(INDEX(Overall!$F$2:$F$1000,MATCH("RWF|98",Overall!$I$2:$I$1000,0)),"")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IF(B100="","",COUNTIFS(Overall!$C$2:$C$1000,"RWF",Overall!$F$2:$F$1000,"&gt;"&amp;C100)+1)</f>
        <v/>
      </c>
      <c r="B100" s="11" t="str">
        <f aca="false">IFERROR(INDEX(Overall!$B$2:$B$1000,MATCH("RWF|99",Overall!$I$2:$I$1000,0)),"")</f>
        <v/>
      </c>
      <c r="C100" s="19" t="str">
        <f aca="false">IFERROR(INDEX(Overall!$F$2:$F$1000,MATCH("RWF|99",Overall!$I$2:$I$1000,0)),"")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IF(B101="","",COUNTIFS(Overall!$C$2:$C$1000,"RWF",Overall!$F$2:$F$1000,"&gt;"&amp;C101)+1)</f>
        <v/>
      </c>
      <c r="B101" s="11" t="str">
        <f aca="false">IFERROR(INDEX(Overall!$B$2:$B$1000,MATCH("RWF|100",Overall!$I$2:$I$1000,0)),"")</f>
        <v/>
      </c>
      <c r="C101" s="19" t="str">
        <f aca="false">IFERROR(INDEX(Overall!$F$2:$F$1000,MATCH("RWF|100",Overall!$I$2:$I$1000,0)),"")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IF(B102="","",COUNTIFS(Overall!$C$2:$C$1000,"RWF",Overall!$F$2:$F$1000,"&gt;"&amp;C102)+1)</f>
        <v/>
      </c>
      <c r="B102" s="11" t="str">
        <f aca="false">IFERROR(INDEX(Overall!$B$2:$B$1000,MATCH("RWF|101",Overall!$I$2:$I$1000,0)),"")</f>
        <v/>
      </c>
      <c r="C102" s="19" t="str">
        <f aca="false">IFERROR(INDEX(Overall!$F$2:$F$1000,MATCH("RWF|101",Overall!$I$2:$I$1000,0)),"")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IF(B103="","",COUNTIFS(Overall!$C$2:$C$1000,"RWF",Overall!$F$2:$F$1000,"&gt;"&amp;C103)+1)</f>
        <v/>
      </c>
      <c r="B103" s="11" t="str">
        <f aca="false">IFERROR(INDEX(Overall!$B$2:$B$1000,MATCH("RWF|102",Overall!$I$2:$I$1000,0)),"")</f>
        <v/>
      </c>
      <c r="C103" s="19" t="str">
        <f aca="false">IFERROR(INDEX(Overall!$F$2:$F$1000,MATCH("RWF|102",Overall!$I$2:$I$1000,0)),"")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IF(B104="","",COUNTIFS(Overall!$C$2:$C$1000,"RWF",Overall!$F$2:$F$1000,"&gt;"&amp;C104)+1)</f>
        <v/>
      </c>
      <c r="B104" s="11" t="str">
        <f aca="false">IFERROR(INDEX(Overall!$B$2:$B$1000,MATCH("RWF|103",Overall!$I$2:$I$1000,0)),"")</f>
        <v/>
      </c>
      <c r="C104" s="19" t="str">
        <f aca="false">IFERROR(INDEX(Overall!$F$2:$F$1000,MATCH("RWF|103",Overall!$I$2:$I$1000,0)),"")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IF(B105="","",COUNTIFS(Overall!$C$2:$C$1000,"RWF",Overall!$F$2:$F$1000,"&gt;"&amp;C105)+1)</f>
        <v/>
      </c>
      <c r="B105" s="11" t="str">
        <f aca="false">IFERROR(INDEX(Overall!$B$2:$B$1000,MATCH("RWF|104",Overall!$I$2:$I$1000,0)),"")</f>
        <v/>
      </c>
      <c r="C105" s="19" t="str">
        <f aca="false">IFERROR(INDEX(Overall!$F$2:$F$1000,MATCH("RWF|104",Overall!$I$2:$I$1000,0)),"")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IF(B106="","",COUNTIFS(Overall!$C$2:$C$1000,"RWF",Overall!$F$2:$F$1000,"&gt;"&amp;C106)+1)</f>
        <v/>
      </c>
      <c r="B106" s="11" t="str">
        <f aca="false">IFERROR(INDEX(Overall!$B$2:$B$1000,MATCH("RWF|105",Overall!$I$2:$I$1000,0)),"")</f>
        <v/>
      </c>
      <c r="C106" s="19" t="str">
        <f aca="false">IFERROR(INDEX(Overall!$F$2:$F$1000,MATCH("RWF|105",Overall!$I$2:$I$1000,0)),"")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IF(B107="","",COUNTIFS(Overall!$C$2:$C$1000,"RWF",Overall!$F$2:$F$1000,"&gt;"&amp;C107)+1)</f>
        <v/>
      </c>
      <c r="B107" s="11" t="str">
        <f aca="false">IFERROR(INDEX(Overall!$B$2:$B$1000,MATCH("RWF|106",Overall!$I$2:$I$1000,0)),"")</f>
        <v/>
      </c>
      <c r="C107" s="19" t="str">
        <f aca="false">IFERROR(INDEX(Overall!$F$2:$F$1000,MATCH("RWF|106",Overall!$I$2:$I$1000,0)),"")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IF(B108="","",COUNTIFS(Overall!$C$2:$C$1000,"RWF",Overall!$F$2:$F$1000,"&gt;"&amp;C108)+1)</f>
        <v/>
      </c>
      <c r="B108" s="11" t="str">
        <f aca="false">IFERROR(INDEX(Overall!$B$2:$B$1000,MATCH("RWF|107",Overall!$I$2:$I$1000,0)),"")</f>
        <v/>
      </c>
      <c r="C108" s="19" t="str">
        <f aca="false">IFERROR(INDEX(Overall!$F$2:$F$1000,MATCH("RWF|107",Overall!$I$2:$I$1000,0)),"")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IF(B109="","",COUNTIFS(Overall!$C$2:$C$1000,"RWF",Overall!$F$2:$F$1000,"&gt;"&amp;C109)+1)</f>
        <v/>
      </c>
      <c r="B109" s="11" t="str">
        <f aca="false">IFERROR(INDEX(Overall!$B$2:$B$1000,MATCH("RWF|108",Overall!$I$2:$I$1000,0)),"")</f>
        <v/>
      </c>
      <c r="C109" s="19" t="str">
        <f aca="false">IFERROR(INDEX(Overall!$F$2:$F$1000,MATCH("RWF|108",Overall!$I$2:$I$1000,0)),"")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IF(B110="","",COUNTIFS(Overall!$C$2:$C$1000,"RWF",Overall!$F$2:$F$1000,"&gt;"&amp;C110)+1)</f>
        <v/>
      </c>
      <c r="B110" s="11" t="str">
        <f aca="false">IFERROR(INDEX(Overall!$B$2:$B$1000,MATCH("RWF|109",Overall!$I$2:$I$1000,0)),"")</f>
        <v/>
      </c>
      <c r="C110" s="19" t="str">
        <f aca="false">IFERROR(INDEX(Overall!$F$2:$F$1000,MATCH("RWF|109",Overall!$I$2:$I$1000,0)),"")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IF(B111="","",COUNTIFS(Overall!$C$2:$C$1000,"RWF",Overall!$F$2:$F$1000,"&gt;"&amp;C111)+1)</f>
        <v/>
      </c>
      <c r="B111" s="11" t="str">
        <f aca="false">IFERROR(INDEX(Overall!$B$2:$B$1000,MATCH("RWF|110",Overall!$I$2:$I$1000,0)),"")</f>
        <v/>
      </c>
      <c r="C111" s="19" t="str">
        <f aca="false">IFERROR(INDEX(Overall!$F$2:$F$1000,MATCH("RWF|110",Overall!$I$2:$I$1000,0)),"")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IF(B112="","",COUNTIFS(Overall!$C$2:$C$1000,"RWF",Overall!$F$2:$F$1000,"&gt;"&amp;C112)+1)</f>
        <v/>
      </c>
      <c r="B112" s="11" t="str">
        <f aca="false">IFERROR(INDEX(Overall!$B$2:$B$1000,MATCH("RWF|111",Overall!$I$2:$I$1000,0)),"")</f>
        <v/>
      </c>
      <c r="C112" s="19" t="str">
        <f aca="false">IFERROR(INDEX(Overall!$F$2:$F$1000,MATCH("RWF|111",Overall!$I$2:$I$1000,0)),"")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IF(B113="","",COUNTIFS(Overall!$C$2:$C$1000,"RWF",Overall!$F$2:$F$1000,"&gt;"&amp;C113)+1)</f>
        <v/>
      </c>
      <c r="B113" s="11" t="str">
        <f aca="false">IFERROR(INDEX(Overall!$B$2:$B$1000,MATCH("RWF|112",Overall!$I$2:$I$1000,0)),"")</f>
        <v/>
      </c>
      <c r="C113" s="19" t="str">
        <f aca="false">IFERROR(INDEX(Overall!$F$2:$F$1000,MATCH("RWF|112",Overall!$I$2:$I$1000,0)),"")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IF(B114="","",COUNTIFS(Overall!$C$2:$C$1000,"RWF",Overall!$F$2:$F$1000,"&gt;"&amp;C114)+1)</f>
        <v/>
      </c>
      <c r="B114" s="11" t="str">
        <f aca="false">IFERROR(INDEX(Overall!$B$2:$B$1000,MATCH("RWF|113",Overall!$I$2:$I$1000,0)),"")</f>
        <v/>
      </c>
      <c r="C114" s="19" t="str">
        <f aca="false">IFERROR(INDEX(Overall!$F$2:$F$1000,MATCH("RWF|113",Overall!$I$2:$I$1000,0)),"")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IF(B115="","",COUNTIFS(Overall!$C$2:$C$1000,"RWF",Overall!$F$2:$F$1000,"&gt;"&amp;C115)+1)</f>
        <v/>
      </c>
      <c r="B115" s="11" t="str">
        <f aca="false">IFERROR(INDEX(Overall!$B$2:$B$1000,MATCH("RWF|114",Overall!$I$2:$I$1000,0)),"")</f>
        <v/>
      </c>
      <c r="C115" s="19" t="str">
        <f aca="false">IFERROR(INDEX(Overall!$F$2:$F$1000,MATCH("RWF|114",Overall!$I$2:$I$1000,0)),"")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IF(B116="","",COUNTIFS(Overall!$C$2:$C$1000,"RWF",Overall!$F$2:$F$1000,"&gt;"&amp;C116)+1)</f>
        <v/>
      </c>
      <c r="B116" s="11" t="str">
        <f aca="false">IFERROR(INDEX(Overall!$B$2:$B$1000,MATCH("RWF|115",Overall!$I$2:$I$1000,0)),"")</f>
        <v/>
      </c>
      <c r="C116" s="19" t="str">
        <f aca="false">IFERROR(INDEX(Overall!$F$2:$F$1000,MATCH("RWF|115",Overall!$I$2:$I$1000,0)),"")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IF(B117="","",COUNTIFS(Overall!$C$2:$C$1000,"RWF",Overall!$F$2:$F$1000,"&gt;"&amp;C117)+1)</f>
        <v/>
      </c>
      <c r="B117" s="11" t="str">
        <f aca="false">IFERROR(INDEX(Overall!$B$2:$B$1000,MATCH("RWF|116",Overall!$I$2:$I$1000,0)),"")</f>
        <v/>
      </c>
      <c r="C117" s="19" t="str">
        <f aca="false">IFERROR(INDEX(Overall!$F$2:$F$1000,MATCH("RWF|116",Overall!$I$2:$I$1000,0)),"")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IF(B118="","",COUNTIFS(Overall!$C$2:$C$1000,"RWF",Overall!$F$2:$F$1000,"&gt;"&amp;C118)+1)</f>
        <v/>
      </c>
      <c r="B118" s="11" t="str">
        <f aca="false">IFERROR(INDEX(Overall!$B$2:$B$1000,MATCH("RWF|117",Overall!$I$2:$I$1000,0)),"")</f>
        <v/>
      </c>
      <c r="C118" s="19" t="str">
        <f aca="false">IFERROR(INDEX(Overall!$F$2:$F$1000,MATCH("RWF|117",Overall!$I$2:$I$1000,0)),"")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IF(B119="","",COUNTIFS(Overall!$C$2:$C$1000,"RWF",Overall!$F$2:$F$1000,"&gt;"&amp;C119)+1)</f>
        <v/>
      </c>
      <c r="B119" s="11" t="str">
        <f aca="false">IFERROR(INDEX(Overall!$B$2:$B$1000,MATCH("RWF|118",Overall!$I$2:$I$1000,0)),"")</f>
        <v/>
      </c>
      <c r="C119" s="19" t="str">
        <f aca="false">IFERROR(INDEX(Overall!$F$2:$F$1000,MATCH("RWF|118",Overall!$I$2:$I$1000,0)),"")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IF(B120="","",COUNTIFS(Overall!$C$2:$C$1000,"RWF",Overall!$F$2:$F$1000,"&gt;"&amp;C120)+1)</f>
        <v/>
      </c>
      <c r="B120" s="11" t="str">
        <f aca="false">IFERROR(INDEX(Overall!$B$2:$B$1000,MATCH("RWF|119",Overall!$I$2:$I$1000,0)),"")</f>
        <v/>
      </c>
      <c r="C120" s="19" t="str">
        <f aca="false">IFERROR(INDEX(Overall!$F$2:$F$1000,MATCH("RWF|119",Overall!$I$2:$I$1000,0)),"")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IF(B121="","",COUNTIFS(Overall!$C$2:$C$1000,"RWF",Overall!$F$2:$F$1000,"&gt;"&amp;C121)+1)</f>
        <v/>
      </c>
      <c r="B121" s="11" t="str">
        <f aca="false">IFERROR(INDEX(Overall!$B$2:$B$1000,MATCH("RWF|120",Overall!$I$2:$I$1000,0)),"")</f>
        <v/>
      </c>
      <c r="C121" s="19" t="str">
        <f aca="false">IFERROR(INDEX(Overall!$F$2:$F$1000,MATCH("RWF|120",Overall!$I$2:$I$1000,0)),"")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IF(B122="","",COUNTIFS(Overall!$C$2:$C$1000,"RWF",Overall!$F$2:$F$1000,"&gt;"&amp;C122)+1)</f>
        <v/>
      </c>
      <c r="B122" s="11" t="str">
        <f aca="false">IFERROR(INDEX(Overall!$B$2:$B$1000,MATCH("RWF|121",Overall!$I$2:$I$1000,0)),"")</f>
        <v/>
      </c>
      <c r="C122" s="19" t="str">
        <f aca="false">IFERROR(INDEX(Overall!$F$2:$F$1000,MATCH("RWF|121",Overall!$I$2:$I$1000,0)),"")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IF(B123="","",COUNTIFS(Overall!$C$2:$C$1000,"RWF",Overall!$F$2:$F$1000,"&gt;"&amp;C123)+1)</f>
        <v/>
      </c>
      <c r="B123" s="11" t="str">
        <f aca="false">IFERROR(INDEX(Overall!$B$2:$B$1000,MATCH("RWF|122",Overall!$I$2:$I$1000,0)),"")</f>
        <v/>
      </c>
      <c r="C123" s="19" t="str">
        <f aca="false">IFERROR(INDEX(Overall!$F$2:$F$1000,MATCH("RWF|122",Overall!$I$2:$I$1000,0)),"")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IF(B124="","",COUNTIFS(Overall!$C$2:$C$1000,"RWF",Overall!$F$2:$F$1000,"&gt;"&amp;C124)+1)</f>
        <v/>
      </c>
      <c r="B124" s="11" t="str">
        <f aca="false">IFERROR(INDEX(Overall!$B$2:$B$1000,MATCH("RWF|123",Overall!$I$2:$I$1000,0)),"")</f>
        <v/>
      </c>
      <c r="C124" s="19" t="str">
        <f aca="false">IFERROR(INDEX(Overall!$F$2:$F$1000,MATCH("RWF|123",Overall!$I$2:$I$1000,0)),"")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IF(B125="","",COUNTIFS(Overall!$C$2:$C$1000,"RWF",Overall!$F$2:$F$1000,"&gt;"&amp;C125)+1)</f>
        <v/>
      </c>
      <c r="B125" s="11" t="str">
        <f aca="false">IFERROR(INDEX(Overall!$B$2:$B$1000,MATCH("RWF|124",Overall!$I$2:$I$1000,0)),"")</f>
        <v/>
      </c>
      <c r="C125" s="19" t="str">
        <f aca="false">IFERROR(INDEX(Overall!$F$2:$F$1000,MATCH("RWF|124",Overall!$I$2:$I$1000,0)),"")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IF(B126="","",COUNTIFS(Overall!$C$2:$C$1000,"RWF",Overall!$F$2:$F$1000,"&gt;"&amp;C126)+1)</f>
        <v/>
      </c>
      <c r="B126" s="11" t="str">
        <f aca="false">IFERROR(INDEX(Overall!$B$2:$B$1000,MATCH("RWF|125",Overall!$I$2:$I$1000,0)),"")</f>
        <v/>
      </c>
      <c r="C126" s="19" t="str">
        <f aca="false">IFERROR(INDEX(Overall!$F$2:$F$1000,MATCH("RWF|125",Overall!$I$2:$I$1000,0)),"")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IF(B127="","",COUNTIFS(Overall!$C$2:$C$1000,"RWF",Overall!$F$2:$F$1000,"&gt;"&amp;C127)+1)</f>
        <v/>
      </c>
      <c r="B127" s="11" t="str">
        <f aca="false">IFERROR(INDEX(Overall!$B$2:$B$1000,MATCH("RWF|126",Overall!$I$2:$I$1000,0)),"")</f>
        <v/>
      </c>
      <c r="C127" s="19" t="str">
        <f aca="false">IFERROR(INDEX(Overall!$F$2:$F$1000,MATCH("RWF|126",Overall!$I$2:$I$1000,0)),"")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IF(B128="","",COUNTIFS(Overall!$C$2:$C$1000,"RWF",Overall!$F$2:$F$1000,"&gt;"&amp;C128)+1)</f>
        <v/>
      </c>
      <c r="B128" s="11" t="str">
        <f aca="false">IFERROR(INDEX(Overall!$B$2:$B$1000,MATCH("RWF|127",Overall!$I$2:$I$1000,0)),"")</f>
        <v/>
      </c>
      <c r="C128" s="19" t="str">
        <f aca="false">IFERROR(INDEX(Overall!$F$2:$F$1000,MATCH("RWF|127",Overall!$I$2:$I$1000,0)),"")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IF(B129="","",COUNTIFS(Overall!$C$2:$C$1000,"RWF",Overall!$F$2:$F$1000,"&gt;"&amp;C129)+1)</f>
        <v/>
      </c>
      <c r="B129" s="11" t="str">
        <f aca="false">IFERROR(INDEX(Overall!$B$2:$B$1000,MATCH("RWF|128",Overall!$I$2:$I$1000,0)),"")</f>
        <v/>
      </c>
      <c r="C129" s="19" t="str">
        <f aca="false">IFERROR(INDEX(Overall!$F$2:$F$1000,MATCH("RWF|128",Overall!$I$2:$I$1000,0)),"")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IF(B130="","",COUNTIFS(Overall!$C$2:$C$1000,"RWF",Overall!$F$2:$F$1000,"&gt;"&amp;C130)+1)</f>
        <v/>
      </c>
      <c r="B130" s="11" t="str">
        <f aca="false">IFERROR(INDEX(Overall!$B$2:$B$1000,MATCH("RWF|129",Overall!$I$2:$I$1000,0)),"")</f>
        <v/>
      </c>
      <c r="C130" s="19" t="str">
        <f aca="false">IFERROR(INDEX(Overall!$F$2:$F$1000,MATCH("RWF|129",Overall!$I$2:$I$1000,0)),"")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IF(B131="","",COUNTIFS(Overall!$C$2:$C$1000,"RWF",Overall!$F$2:$F$1000,"&gt;"&amp;C131)+1)</f>
        <v/>
      </c>
      <c r="B131" s="11" t="str">
        <f aca="false">IFERROR(INDEX(Overall!$B$2:$B$1000,MATCH("RWF|130",Overall!$I$2:$I$1000,0)),"")</f>
        <v/>
      </c>
      <c r="C131" s="19" t="str">
        <f aca="false">IFERROR(INDEX(Overall!$F$2:$F$1000,MATCH("RWF|130",Overall!$I$2:$I$1000,0)),"")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IF(B132="","",COUNTIFS(Overall!$C$2:$C$1000,"RWF",Overall!$F$2:$F$1000,"&gt;"&amp;C132)+1)</f>
        <v/>
      </c>
      <c r="B132" s="11" t="str">
        <f aca="false">IFERROR(INDEX(Overall!$B$2:$B$1000,MATCH("RWF|131",Overall!$I$2:$I$1000,0)),"")</f>
        <v/>
      </c>
      <c r="C132" s="19" t="str">
        <f aca="false">IFERROR(INDEX(Overall!$F$2:$F$1000,MATCH("RWF|131",Overall!$I$2:$I$1000,0)),"")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IF(B133="","",COUNTIFS(Overall!$C$2:$C$1000,"RWF",Overall!$F$2:$F$1000,"&gt;"&amp;C133)+1)</f>
        <v/>
      </c>
      <c r="B133" s="11" t="str">
        <f aca="false">IFERROR(INDEX(Overall!$B$2:$B$1000,MATCH("RWF|132",Overall!$I$2:$I$1000,0)),"")</f>
        <v/>
      </c>
      <c r="C133" s="19" t="str">
        <f aca="false">IFERROR(INDEX(Overall!$F$2:$F$1000,MATCH("RWF|132",Overall!$I$2:$I$1000,0)),"")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IF(B134="","",COUNTIFS(Overall!$C$2:$C$1000,"RWF",Overall!$F$2:$F$1000,"&gt;"&amp;C134)+1)</f>
        <v/>
      </c>
      <c r="B134" s="11" t="str">
        <f aca="false">IFERROR(INDEX(Overall!$B$2:$B$1000,MATCH("RWF|133",Overall!$I$2:$I$1000,0)),"")</f>
        <v/>
      </c>
      <c r="C134" s="19" t="str">
        <f aca="false">IFERROR(INDEX(Overall!$F$2:$F$1000,MATCH("RWF|133",Overall!$I$2:$I$1000,0)),"")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IF(B135="","",COUNTIFS(Overall!$C$2:$C$1000,"RWF",Overall!$F$2:$F$1000,"&gt;"&amp;C135)+1)</f>
        <v/>
      </c>
      <c r="B135" s="11" t="str">
        <f aca="false">IFERROR(INDEX(Overall!$B$2:$B$1000,MATCH("RWF|134",Overall!$I$2:$I$1000,0)),"")</f>
        <v/>
      </c>
      <c r="C135" s="19" t="str">
        <f aca="false">IFERROR(INDEX(Overall!$F$2:$F$1000,MATCH("RWF|134",Overall!$I$2:$I$1000,0)),"")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IF(B136="","",COUNTIFS(Overall!$C$2:$C$1000,"RWF",Overall!$F$2:$F$1000,"&gt;"&amp;C136)+1)</f>
        <v/>
      </c>
      <c r="B136" s="11" t="str">
        <f aca="false">IFERROR(INDEX(Overall!$B$2:$B$1000,MATCH("RWF|135",Overall!$I$2:$I$1000,0)),"")</f>
        <v/>
      </c>
      <c r="C136" s="19" t="str">
        <f aca="false">IFERROR(INDEX(Overall!$F$2:$F$1000,MATCH("RWF|135",Overall!$I$2:$I$1000,0)),"")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IF(B137="","",COUNTIFS(Overall!$C$2:$C$1000,"RWF",Overall!$F$2:$F$1000,"&gt;"&amp;C137)+1)</f>
        <v/>
      </c>
      <c r="B137" s="11" t="str">
        <f aca="false">IFERROR(INDEX(Overall!$B$2:$B$1000,MATCH("RWF|136",Overall!$I$2:$I$1000,0)),"")</f>
        <v/>
      </c>
      <c r="C137" s="19" t="str">
        <f aca="false">IFERROR(INDEX(Overall!$F$2:$F$1000,MATCH("RWF|136",Overall!$I$2:$I$1000,0)),"")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IF(B138="","",COUNTIFS(Overall!$C$2:$C$1000,"RWF",Overall!$F$2:$F$1000,"&gt;"&amp;C138)+1)</f>
        <v/>
      </c>
      <c r="B138" s="11" t="str">
        <f aca="false">IFERROR(INDEX(Overall!$B$2:$B$1000,MATCH("RWF|137",Overall!$I$2:$I$1000,0)),"")</f>
        <v/>
      </c>
      <c r="C138" s="19" t="str">
        <f aca="false">IFERROR(INDEX(Overall!$F$2:$F$1000,MATCH("RWF|137",Overall!$I$2:$I$1000,0)),"")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IF(B139="","",COUNTIFS(Overall!$C$2:$C$1000,"RWF",Overall!$F$2:$F$1000,"&gt;"&amp;C139)+1)</f>
        <v/>
      </c>
      <c r="B139" s="11" t="str">
        <f aca="false">IFERROR(INDEX(Overall!$B$2:$B$1000,MATCH("RWF|138",Overall!$I$2:$I$1000,0)),"")</f>
        <v/>
      </c>
      <c r="C139" s="19" t="str">
        <f aca="false">IFERROR(INDEX(Overall!$F$2:$F$1000,MATCH("RWF|138",Overall!$I$2:$I$1000,0)),"")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IF(B140="","",COUNTIFS(Overall!$C$2:$C$1000,"RWF",Overall!$F$2:$F$1000,"&gt;"&amp;C140)+1)</f>
        <v/>
      </c>
      <c r="B140" s="11" t="str">
        <f aca="false">IFERROR(INDEX(Overall!$B$2:$B$1000,MATCH("RWF|139",Overall!$I$2:$I$1000,0)),"")</f>
        <v/>
      </c>
      <c r="C140" s="19" t="str">
        <f aca="false">IFERROR(INDEX(Overall!$F$2:$F$1000,MATCH("RWF|139",Overall!$I$2:$I$1000,0)),"")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IF(B141="","",COUNTIFS(Overall!$C$2:$C$1000,"RWF",Overall!$F$2:$F$1000,"&gt;"&amp;C141)+1)</f>
        <v/>
      </c>
      <c r="B141" s="11" t="str">
        <f aca="false">IFERROR(INDEX(Overall!$B$2:$B$1000,MATCH("RWF|140",Overall!$I$2:$I$1000,0)),"")</f>
        <v/>
      </c>
      <c r="C141" s="19" t="str">
        <f aca="false">IFERROR(INDEX(Overall!$F$2:$F$1000,MATCH("RWF|140",Overall!$I$2:$I$1000,0)),"")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IF(B142="","",COUNTIFS(Overall!$C$2:$C$1000,"RWF",Overall!$F$2:$F$1000,"&gt;"&amp;C142)+1)</f>
        <v/>
      </c>
      <c r="B142" s="11" t="str">
        <f aca="false">IFERROR(INDEX(Overall!$B$2:$B$1000,MATCH("RWF|141",Overall!$I$2:$I$1000,0)),"")</f>
        <v/>
      </c>
      <c r="C142" s="19" t="str">
        <f aca="false">IFERROR(INDEX(Overall!$F$2:$F$1000,MATCH("RWF|141",Overall!$I$2:$I$1000,0)),"")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IF(B143="","",COUNTIFS(Overall!$C$2:$C$1000,"RWF",Overall!$F$2:$F$1000,"&gt;"&amp;C143)+1)</f>
        <v/>
      </c>
      <c r="B143" s="11" t="str">
        <f aca="false">IFERROR(INDEX(Overall!$B$2:$B$1000,MATCH("RWF|142",Overall!$I$2:$I$1000,0)),"")</f>
        <v/>
      </c>
      <c r="C143" s="19" t="str">
        <f aca="false">IFERROR(INDEX(Overall!$F$2:$F$1000,MATCH("RWF|142",Overall!$I$2:$I$1000,0)),"")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IF(B144="","",COUNTIFS(Overall!$C$2:$C$1000,"RWF",Overall!$F$2:$F$1000,"&gt;"&amp;C144)+1)</f>
        <v/>
      </c>
      <c r="B144" s="11" t="str">
        <f aca="false">IFERROR(INDEX(Overall!$B$2:$B$1000,MATCH("RWF|143",Overall!$I$2:$I$1000,0)),"")</f>
        <v/>
      </c>
      <c r="C144" s="19" t="str">
        <f aca="false">IFERROR(INDEX(Overall!$F$2:$F$1000,MATCH("RWF|143",Overall!$I$2:$I$1000,0)),"")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IF(B145="","",COUNTIFS(Overall!$C$2:$C$1000,"RWF",Overall!$F$2:$F$1000,"&gt;"&amp;C145)+1)</f>
        <v/>
      </c>
      <c r="B145" s="11" t="str">
        <f aca="false">IFERROR(INDEX(Overall!$B$2:$B$1000,MATCH("RWF|144",Overall!$I$2:$I$1000,0)),"")</f>
        <v/>
      </c>
      <c r="C145" s="19" t="str">
        <f aca="false">IFERROR(INDEX(Overall!$F$2:$F$1000,MATCH("RWF|144",Overall!$I$2:$I$1000,0)),"")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IF(B146="","",COUNTIFS(Overall!$C$2:$C$1000,"RWF",Overall!$F$2:$F$1000,"&gt;"&amp;C146)+1)</f>
        <v/>
      </c>
      <c r="B146" s="11" t="str">
        <f aca="false">IFERROR(INDEX(Overall!$B$2:$B$1000,MATCH("RWF|145",Overall!$I$2:$I$1000,0)),"")</f>
        <v/>
      </c>
      <c r="C146" s="19" t="str">
        <f aca="false">IFERROR(INDEX(Overall!$F$2:$F$1000,MATCH("RWF|145",Overall!$I$2:$I$1000,0)),"")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IF(B147="","",COUNTIFS(Overall!$C$2:$C$1000,"RWF",Overall!$F$2:$F$1000,"&gt;"&amp;C147)+1)</f>
        <v/>
      </c>
      <c r="B147" s="11" t="str">
        <f aca="false">IFERROR(INDEX(Overall!$B$2:$B$1000,MATCH("RWF|146",Overall!$I$2:$I$1000,0)),"")</f>
        <v/>
      </c>
      <c r="C147" s="19" t="str">
        <f aca="false">IFERROR(INDEX(Overall!$F$2:$F$1000,MATCH("RWF|146",Overall!$I$2:$I$1000,0)),"")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IF(B148="","",COUNTIFS(Overall!$C$2:$C$1000,"RWF",Overall!$F$2:$F$1000,"&gt;"&amp;C148)+1)</f>
        <v/>
      </c>
      <c r="B148" s="11" t="str">
        <f aca="false">IFERROR(INDEX(Overall!$B$2:$B$1000,MATCH("RWF|147",Overall!$I$2:$I$1000,0)),"")</f>
        <v/>
      </c>
      <c r="C148" s="19" t="str">
        <f aca="false">IFERROR(INDEX(Overall!$F$2:$F$1000,MATCH("RWF|147",Overall!$I$2:$I$1000,0)),"")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IF(B149="","",COUNTIFS(Overall!$C$2:$C$1000,"RWF",Overall!$F$2:$F$1000,"&gt;"&amp;C149)+1)</f>
        <v/>
      </c>
      <c r="B149" s="11" t="str">
        <f aca="false">IFERROR(INDEX(Overall!$B$2:$B$1000,MATCH("RWF|148",Overall!$I$2:$I$1000,0)),"")</f>
        <v/>
      </c>
      <c r="C149" s="19" t="str">
        <f aca="false">IFERROR(INDEX(Overall!$F$2:$F$1000,MATCH("RWF|148",Overall!$I$2:$I$1000,0)),"")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IF(B150="","",COUNTIFS(Overall!$C$2:$C$1000,"RWF",Overall!$F$2:$F$1000,"&gt;"&amp;C150)+1)</f>
        <v/>
      </c>
      <c r="B150" s="11" t="str">
        <f aca="false">IFERROR(INDEX(Overall!$B$2:$B$1000,MATCH("RWF|149",Overall!$I$2:$I$1000,0)),"")</f>
        <v/>
      </c>
      <c r="C150" s="19" t="str">
        <f aca="false">IFERROR(INDEX(Overall!$F$2:$F$1000,MATCH("RWF|149",Overall!$I$2:$I$1000,0)),"")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IF(B151="","",COUNTIFS(Overall!$C$2:$C$1000,"RWF",Overall!$F$2:$F$1000,"&gt;"&amp;C151)+1)</f>
        <v/>
      </c>
      <c r="B151" s="11" t="str">
        <f aca="false">IFERROR(INDEX(Overall!$B$2:$B$1000,MATCH("RWF|150",Overall!$I$2:$I$1000,0)),"")</f>
        <v/>
      </c>
      <c r="C151" s="19" t="str">
        <f aca="false">IFERROR(INDEX(Overall!$F$2:$F$1000,MATCH("RWF|150",Overall!$I$2:$I$1000,0)),"")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D9D9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IF(B2="","",COUNTIFS(Overall!$C$2:$C$1000,"SS",Overall!$F$2:$F$1000,"&gt;"&amp;C2)+1)</f>
        <v>1</v>
      </c>
      <c r="B2" s="11" t="str">
        <f aca="false">IFERROR(INDEX(Overall!$B$2:$B$1000,MATCH("SS|1",Overall!$I$2:$I$1000,0)),"")</f>
        <v>Super Totti 2</v>
      </c>
      <c r="C2" s="19" t="n">
        <f aca="false">IFERROR(INDEX(Overall!$F$2:$F$1000,MATCH("SS|1",Overall!$I$2:$I$1000,0)),"")</f>
        <v>109</v>
      </c>
    </row>
    <row r="3" customFormat="false" ht="15" hidden="false" customHeight="false" outlineLevel="0" collapsed="false">
      <c r="A3" s="22" t="n">
        <f aca="false">IF(B3="","",COUNTIFS(Overall!$C$2:$C$1000,"SS",Overall!$F$2:$F$1000,"&gt;"&amp;C3)+1)</f>
        <v>2</v>
      </c>
      <c r="B3" s="11" t="str">
        <f aca="false">IFERROR(INDEX(Overall!$B$2:$B$1000,MATCH("SS|2",Overall!$I$2:$I$1000,0)),"")</f>
        <v>Mario</v>
      </c>
      <c r="C3" s="19" t="n">
        <f aca="false">IFERROR(INDEX(Overall!$F$2:$F$1000,MATCH("SS|2",Overall!$I$2:$I$1000,0)),"")</f>
        <v>94</v>
      </c>
    </row>
    <row r="4" customFormat="false" ht="15" hidden="false" customHeight="false" outlineLevel="0" collapsed="false">
      <c r="A4" s="22" t="n">
        <f aca="false">IF(B4="","",COUNTIFS(Overall!$C$2:$C$1000,"SS",Overall!$F$2:$F$1000,"&gt;"&amp;C4)+1)</f>
        <v>3</v>
      </c>
      <c r="B4" s="11" t="str">
        <f aca="false">IFERROR(INDEX(Overall!$B$2:$B$1000,MATCH("SS|3",Overall!$I$2:$I$1000,0)),"")</f>
        <v>Luca Josephiani</v>
      </c>
      <c r="C4" s="19" t="n">
        <f aca="false">IFERROR(INDEX(Overall!$F$2:$F$1000,MATCH("SS|3",Overall!$I$2:$I$1000,0)),"")</f>
        <v>93</v>
      </c>
    </row>
    <row r="5" customFormat="false" ht="15" hidden="false" customHeight="false" outlineLevel="0" collapsed="false">
      <c r="A5" s="22" t="n">
        <f aca="false">IF(B5="","",COUNTIFS(Overall!$C$2:$C$1000,"SS",Overall!$F$2:$F$1000,"&gt;"&amp;C5)+1)</f>
        <v>4</v>
      </c>
      <c r="B5" s="11" t="str">
        <f aca="false">IFERROR(INDEX(Overall!$B$2:$B$1000,MATCH("SS|4",Overall!$I$2:$I$1000,0)),"")</f>
        <v>Sonic</v>
      </c>
      <c r="C5" s="19" t="n">
        <f aca="false">IFERROR(INDEX(Overall!$F$2:$F$1000,MATCH("SS|4",Overall!$I$2:$I$1000,0)),"")</f>
        <v>91</v>
      </c>
    </row>
    <row r="6" customFormat="false" ht="15" hidden="false" customHeight="false" outlineLevel="0" collapsed="false">
      <c r="A6" s="22" t="n">
        <f aca="false">IF(B6="","",COUNTIFS(Overall!$C$2:$C$1000,"SS",Overall!$F$2:$F$1000,"&gt;"&amp;C6)+1)</f>
        <v>5</v>
      </c>
      <c r="B6" s="11" t="str">
        <f aca="false">IFERROR(INDEX(Overall!$B$2:$B$1000,MATCH("SS|5",Overall!$I$2:$I$1000,0)),"")</f>
        <v>Bart Simpson</v>
      </c>
      <c r="C6" s="19" t="n">
        <f aca="false">IFERROR(INDEX(Overall!$F$2:$F$1000,MATCH("SS|5",Overall!$I$2:$I$1000,0)),"")</f>
        <v>89</v>
      </c>
    </row>
    <row r="7" customFormat="false" ht="15" hidden="false" customHeight="false" outlineLevel="0" collapsed="false">
      <c r="A7" s="22" t="n">
        <f aca="false">IF(B7="","",COUNTIFS(Overall!$C$2:$C$1000,"SS",Overall!$F$2:$F$1000,"&gt;"&amp;C7)+1)</f>
        <v>6</v>
      </c>
      <c r="B7" s="11" t="str">
        <f aca="false">IFERROR(INDEX(Overall!$B$2:$B$1000,MATCH("SS|6",Overall!$I$2:$I$1000,0)),"")</f>
        <v>Ichigo</v>
      </c>
      <c r="C7" s="19" t="n">
        <f aca="false">IFERROR(INDEX(Overall!$F$2:$F$1000,MATCH("SS|6",Overall!$I$2:$I$1000,0)),"")</f>
        <v>87</v>
      </c>
    </row>
    <row r="8" customFormat="false" ht="15" hidden="false" customHeight="false" outlineLevel="0" collapsed="false">
      <c r="A8" s="22" t="n">
        <f aca="false">IF(B8="","",COUNTIFS(Overall!$C$2:$C$1000,"SS",Overall!$F$2:$F$1000,"&gt;"&amp;C8)+1)</f>
        <v>6</v>
      </c>
      <c r="B8" s="11" t="str">
        <f aca="false">IFERROR(INDEX(Overall!$B$2:$B$1000,MATCH("SS|7",Overall!$I$2:$I$1000,0)),"")</f>
        <v>Mickey Mouse</v>
      </c>
      <c r="C8" s="19" t="n">
        <f aca="false">IFERROR(INDEX(Overall!$F$2:$F$1000,MATCH("SS|7",Overall!$I$2:$I$1000,0)),"")</f>
        <v>87</v>
      </c>
    </row>
    <row r="9" customFormat="false" ht="15" hidden="false" customHeight="false" outlineLevel="0" collapsed="false">
      <c r="A9" s="22" t="n">
        <f aca="false">IF(B9="","",COUNTIFS(Overall!$C$2:$C$1000,"SS",Overall!$F$2:$F$1000,"&gt;"&amp;C9)+1)</f>
        <v>8</v>
      </c>
      <c r="B9" s="11" t="str">
        <f aca="false">IFERROR(INDEX(Overall!$B$2:$B$1000,MATCH("SS|8",Overall!$I$2:$I$1000,0)),"")</f>
        <v>Chun li</v>
      </c>
      <c r="C9" s="19" t="n">
        <f aca="false">IFERROR(INDEX(Overall!$F$2:$F$1000,MATCH("SS|8",Overall!$I$2:$I$1000,0)),"")</f>
        <v>86</v>
      </c>
    </row>
    <row r="10" customFormat="false" ht="15" hidden="false" customHeight="false" outlineLevel="0" collapsed="false">
      <c r="A10" s="22" t="n">
        <f aca="false">IF(B10="","",COUNTIFS(Overall!$C$2:$C$1000,"SS",Overall!$F$2:$F$1000,"&gt;"&amp;C10)+1)</f>
        <v>9</v>
      </c>
      <c r="B10" s="11" t="str">
        <f aca="false">IFERROR(INDEX(Overall!$B$2:$B$1000,MATCH("SS|9",Overall!$I$2:$I$1000,0)),"")</f>
        <v>Cooler</v>
      </c>
      <c r="C10" s="19" t="n">
        <f aca="false">IFERROR(INDEX(Overall!$F$2:$F$1000,MATCH("SS|9",Overall!$I$2:$I$1000,0)),"")</f>
        <v>85</v>
      </c>
    </row>
    <row r="11" customFormat="false" ht="15" hidden="false" customHeight="false" outlineLevel="0" collapsed="false">
      <c r="A11" s="22" t="n">
        <f aca="false">IF(B11="","",COUNTIFS(Overall!$C$2:$C$1000,"SS",Overall!$F$2:$F$1000,"&gt;"&amp;C11)+1)</f>
        <v>9</v>
      </c>
      <c r="B11" s="11" t="str">
        <f aca="false">IFERROR(INDEX(Overall!$B$2:$B$1000,MATCH("SS|10",Overall!$I$2:$I$1000,0)),"")</f>
        <v>Dabura</v>
      </c>
      <c r="C11" s="19" t="n">
        <f aca="false">IFERROR(INDEX(Overall!$F$2:$F$1000,MATCH("SS|10",Overall!$I$2:$I$1000,0)),"")</f>
        <v>85</v>
      </c>
    </row>
    <row r="12" customFormat="false" ht="15" hidden="false" customHeight="false" outlineLevel="0" collapsed="false">
      <c r="A12" s="22" t="n">
        <f aca="false">IF(B12="","",COUNTIFS(Overall!$C$2:$C$1000,"SS",Overall!$F$2:$F$1000,"&gt;"&amp;C12)+1)</f>
        <v>9</v>
      </c>
      <c r="B12" s="11" t="str">
        <f aca="false">IFERROR(INDEX(Overall!$B$2:$B$1000,MATCH("SS|11",Overall!$I$2:$I$1000,0)),"")</f>
        <v>Uub</v>
      </c>
      <c r="C12" s="19" t="n">
        <f aca="false">IFERROR(INDEX(Overall!$F$2:$F$1000,MATCH("SS|11",Overall!$I$2:$I$1000,0)),"")</f>
        <v>85</v>
      </c>
    </row>
    <row r="13" customFormat="false" ht="15" hidden="false" customHeight="false" outlineLevel="0" collapsed="false">
      <c r="A13" s="22" t="n">
        <f aca="false">IF(B13="","",COUNTIFS(Overall!$C$2:$C$1000,"SS",Overall!$F$2:$F$1000,"&gt;"&amp;C13)+1)</f>
        <v>12</v>
      </c>
      <c r="B13" s="11" t="str">
        <f aca="false">IFERROR(INDEX(Overall!$B$2:$B$1000,MATCH("SS|12",Overall!$I$2:$I$1000,0)),"")</f>
        <v>Timbershow</v>
      </c>
      <c r="C13" s="19" t="n">
        <f aca="false">IFERROR(INDEX(Overall!$F$2:$F$1000,MATCH("SS|12",Overall!$I$2:$I$1000,0)),"")</f>
        <v>84</v>
      </c>
    </row>
    <row r="14" customFormat="false" ht="15" hidden="false" customHeight="false" outlineLevel="0" collapsed="false">
      <c r="A14" s="22" t="n">
        <f aca="false">IF(B14="","",COUNTIFS(Overall!$C$2:$C$1000,"SS",Overall!$F$2:$F$1000,"&gt;"&amp;C14)+1)</f>
        <v>13</v>
      </c>
      <c r="B14" s="11" t="str">
        <f aca="false">IFERROR(INDEX(Overall!$B$2:$B$1000,MATCH("SS|13",Overall!$I$2:$I$1000,0)),"")</f>
        <v>Kid trunks</v>
      </c>
      <c r="C14" s="19" t="n">
        <f aca="false">IFERROR(INDEX(Overall!$F$2:$F$1000,MATCH("SS|13",Overall!$I$2:$I$1000,0)),"")</f>
        <v>83</v>
      </c>
    </row>
    <row r="15" customFormat="false" ht="15" hidden="false" customHeight="false" outlineLevel="0" collapsed="false">
      <c r="A15" s="22" t="n">
        <f aca="false">IF(B15="","",COUNTIFS(Overall!$C$2:$C$1000,"SS",Overall!$F$2:$F$1000,"&gt;"&amp;C15)+1)</f>
        <v>14</v>
      </c>
      <c r="B15" s="11" t="str">
        <f aca="false">IFERROR(INDEX(Overall!$B$2:$B$1000,MATCH("SS|14",Overall!$I$2:$I$1000,0)),"")</f>
        <v>Classic Sonic</v>
      </c>
      <c r="C15" s="19" t="n">
        <f aca="false">IFERROR(INDEX(Overall!$F$2:$F$1000,MATCH("SS|14",Overall!$I$2:$I$1000,0)),"")</f>
        <v>81</v>
      </c>
    </row>
    <row r="16" customFormat="false" ht="15" hidden="false" customHeight="false" outlineLevel="0" collapsed="false">
      <c r="A16" s="22" t="n">
        <f aca="false">IF(B16="","",COUNTIFS(Overall!$C$2:$C$1000,"SS",Overall!$F$2:$F$1000,"&gt;"&amp;C16)+1)</f>
        <v>14</v>
      </c>
      <c r="B16" s="11" t="str">
        <f aca="false">IFERROR(INDEX(Overall!$B$2:$B$1000,MATCH("SS|15",Overall!$I$2:$I$1000,0)),"")</f>
        <v>Kdot</v>
      </c>
      <c r="C16" s="19" t="n">
        <f aca="false">IFERROR(INDEX(Overall!$F$2:$F$1000,MATCH("SS|15",Overall!$I$2:$I$1000,0)),"")</f>
        <v>81</v>
      </c>
    </row>
    <row r="17" customFormat="false" ht="15" hidden="false" customHeight="false" outlineLevel="0" collapsed="false">
      <c r="A17" s="22" t="n">
        <f aca="false">IF(B17="","",COUNTIFS(Overall!$C$2:$C$1000,"SS",Overall!$F$2:$F$1000,"&gt;"&amp;C17)+1)</f>
        <v>16</v>
      </c>
      <c r="B17" s="11" t="str">
        <f aca="false">IFERROR(INDEX(Overall!$B$2:$B$1000,MATCH("SS|16",Overall!$I$2:$I$1000,0)),"")</f>
        <v>Cuphead</v>
      </c>
      <c r="C17" s="19" t="n">
        <f aca="false">IFERROR(INDEX(Overall!$F$2:$F$1000,MATCH("SS|16",Overall!$I$2:$I$1000,0)),"")</f>
        <v>79</v>
      </c>
    </row>
    <row r="18" customFormat="false" ht="15" hidden="false" customHeight="false" outlineLevel="0" collapsed="false">
      <c r="A18" s="22" t="n">
        <f aca="false">IF(B18="","",COUNTIFS(Overall!$C$2:$C$1000,"SS",Overall!$F$2:$F$1000,"&gt;"&amp;C18)+1)</f>
        <v>16</v>
      </c>
      <c r="B18" s="11" t="str">
        <f aca="false">IFERROR(INDEX(Overall!$B$2:$B$1000,MATCH("SS|17",Overall!$I$2:$I$1000,0)),"")</f>
        <v>Kanye</v>
      </c>
      <c r="C18" s="19" t="n">
        <f aca="false">IFERROR(INDEX(Overall!$F$2:$F$1000,MATCH("SS|17",Overall!$I$2:$I$1000,0)),"")</f>
        <v>79</v>
      </c>
    </row>
    <row r="19" customFormat="false" ht="15" hidden="false" customHeight="false" outlineLevel="0" collapsed="false">
      <c r="A19" s="22" t="n">
        <f aca="false">IF(B19="","",COUNTIFS(Overall!$C$2:$C$1000,"SS",Overall!$F$2:$F$1000,"&gt;"&amp;C19)+1)</f>
        <v>18</v>
      </c>
      <c r="B19" s="11" t="str">
        <f aca="false">IFERROR(INDEX(Overall!$B$2:$B$1000,MATCH("SS|18",Overall!$I$2:$I$1000,0)),"")</f>
        <v>Lamela</v>
      </c>
      <c r="C19" s="19" t="n">
        <f aca="false">IFERROR(INDEX(Overall!$F$2:$F$1000,MATCH("SS|18",Overall!$I$2:$I$1000,0)),"")</f>
        <v>74</v>
      </c>
    </row>
    <row r="20" customFormat="false" ht="15" hidden="false" customHeight="false" outlineLevel="0" collapsed="false">
      <c r="A20" s="22" t="str">
        <f aca="false">IF(B20="","",COUNTIFS(Overall!$C$2:$C$1000,"SS",Overall!$F$2:$F$1000,"&gt;"&amp;C20)+1)</f>
        <v/>
      </c>
      <c r="B20" s="11" t="str">
        <f aca="false">IFERROR(INDEX(Overall!$B$2:$B$1000,MATCH("SS|19",Overall!$I$2:$I$1000,0)),"")</f>
        <v/>
      </c>
      <c r="C20" s="19" t="str">
        <f aca="false">IFERROR(INDEX(Overall!$F$2:$F$1000,MATCH("SS|19",Overall!$I$2:$I$1000,0)),"")</f>
        <v/>
      </c>
    </row>
    <row r="21" customFormat="false" ht="15" hidden="false" customHeight="false" outlineLevel="0" collapsed="false">
      <c r="A21" s="22" t="str">
        <f aca="false">IF(B21="","",COUNTIFS(Overall!$C$2:$C$1000,"SS",Overall!$F$2:$F$1000,"&gt;"&amp;C21)+1)</f>
        <v/>
      </c>
      <c r="B21" s="11" t="str">
        <f aca="false">IFERROR(INDEX(Overall!$B$2:$B$1000,MATCH("SS|20",Overall!$I$2:$I$1000,0)),"")</f>
        <v/>
      </c>
      <c r="C21" s="19" t="str">
        <f aca="false">IFERROR(INDEX(Overall!$F$2:$F$1000,MATCH("SS|20",Overall!$I$2:$I$1000,0)),"")</f>
        <v/>
      </c>
    </row>
    <row r="22" customFormat="false" ht="15" hidden="false" customHeight="false" outlineLevel="0" collapsed="false">
      <c r="A22" s="22" t="str">
        <f aca="false">IF(B22="","",COUNTIFS(Overall!$C$2:$C$1000,"SS",Overall!$F$2:$F$1000,"&gt;"&amp;C22)+1)</f>
        <v/>
      </c>
      <c r="B22" s="11" t="str">
        <f aca="false">IFERROR(INDEX(Overall!$B$2:$B$1000,MATCH("SS|21",Overall!$I$2:$I$1000,0)),"")</f>
        <v/>
      </c>
      <c r="C22" s="19" t="str">
        <f aca="false">IFERROR(INDEX(Overall!$F$2:$F$1000,MATCH("SS|21",Overall!$I$2:$I$1000,0)),"")</f>
        <v/>
      </c>
    </row>
    <row r="23" customFormat="false" ht="15" hidden="false" customHeight="false" outlineLevel="0" collapsed="false">
      <c r="A23" s="22" t="str">
        <f aca="false">IF(B23="","",COUNTIFS(Overall!$C$2:$C$1000,"SS",Overall!$F$2:$F$1000,"&gt;"&amp;C23)+1)</f>
        <v/>
      </c>
      <c r="B23" s="11" t="str">
        <f aca="false">IFERROR(INDEX(Overall!$B$2:$B$1000,MATCH("SS|22",Overall!$I$2:$I$1000,0)),"")</f>
        <v/>
      </c>
      <c r="C23" s="19" t="str">
        <f aca="false">IFERROR(INDEX(Overall!$F$2:$F$1000,MATCH("SS|22",Overall!$I$2:$I$1000,0)),"")</f>
        <v/>
      </c>
    </row>
    <row r="24" customFormat="false" ht="15" hidden="false" customHeight="false" outlineLevel="0" collapsed="false">
      <c r="A24" s="22" t="str">
        <f aca="false">IF(B24="","",COUNTIFS(Overall!$C$2:$C$1000,"SS",Overall!$F$2:$F$1000,"&gt;"&amp;C24)+1)</f>
        <v/>
      </c>
      <c r="B24" s="11" t="str">
        <f aca="false">IFERROR(INDEX(Overall!$B$2:$B$1000,MATCH("SS|23",Overall!$I$2:$I$1000,0)),"")</f>
        <v/>
      </c>
      <c r="C24" s="19" t="str">
        <f aca="false">IFERROR(INDEX(Overall!$F$2:$F$1000,MATCH("SS|23",Overall!$I$2:$I$1000,0)),"")</f>
        <v/>
      </c>
    </row>
    <row r="25" customFormat="false" ht="15" hidden="false" customHeight="false" outlineLevel="0" collapsed="false">
      <c r="A25" s="22" t="str">
        <f aca="false">IF(B25="","",COUNTIFS(Overall!$C$2:$C$1000,"SS",Overall!$F$2:$F$1000,"&gt;"&amp;C25)+1)</f>
        <v/>
      </c>
      <c r="B25" s="11" t="str">
        <f aca="false">IFERROR(INDEX(Overall!$B$2:$B$1000,MATCH("SS|24",Overall!$I$2:$I$1000,0)),"")</f>
        <v/>
      </c>
      <c r="C25" s="19" t="str">
        <f aca="false">IFERROR(INDEX(Overall!$F$2:$F$1000,MATCH("SS|24",Overall!$I$2:$I$1000,0)),"")</f>
        <v/>
      </c>
    </row>
    <row r="26" customFormat="false" ht="15" hidden="false" customHeight="false" outlineLevel="0" collapsed="false">
      <c r="A26" s="22" t="str">
        <f aca="false">IF(B26="","",COUNTIFS(Overall!$C$2:$C$1000,"SS",Overall!$F$2:$F$1000,"&gt;"&amp;C26)+1)</f>
        <v/>
      </c>
      <c r="B26" s="11" t="str">
        <f aca="false">IFERROR(INDEX(Overall!$B$2:$B$1000,MATCH("SS|25",Overall!$I$2:$I$1000,0)),"")</f>
        <v/>
      </c>
      <c r="C26" s="19" t="str">
        <f aca="false">IFERROR(INDEX(Overall!$F$2:$F$1000,MATCH("SS|25",Overall!$I$2:$I$1000,0)),"")</f>
        <v/>
      </c>
    </row>
    <row r="27" customFormat="false" ht="15" hidden="false" customHeight="false" outlineLevel="0" collapsed="false">
      <c r="A27" s="22" t="str">
        <f aca="false">IF(B27="","",COUNTIFS(Overall!$C$2:$C$1000,"SS",Overall!$F$2:$F$1000,"&gt;"&amp;C27)+1)</f>
        <v/>
      </c>
      <c r="B27" s="11" t="str">
        <f aca="false">IFERROR(INDEX(Overall!$B$2:$B$1000,MATCH("SS|26",Overall!$I$2:$I$1000,0)),"")</f>
        <v/>
      </c>
      <c r="C27" s="19" t="str">
        <f aca="false">IFERROR(INDEX(Overall!$F$2:$F$1000,MATCH("SS|26",Overall!$I$2:$I$1000,0)),"")</f>
        <v/>
      </c>
    </row>
    <row r="28" customFormat="false" ht="15" hidden="false" customHeight="false" outlineLevel="0" collapsed="false">
      <c r="A28" s="22" t="str">
        <f aca="false">IF(B28="","",COUNTIFS(Overall!$C$2:$C$1000,"SS",Overall!$F$2:$F$1000,"&gt;"&amp;C28)+1)</f>
        <v/>
      </c>
      <c r="B28" s="11" t="str">
        <f aca="false">IFERROR(INDEX(Overall!$B$2:$B$1000,MATCH("SS|27",Overall!$I$2:$I$1000,0)),"")</f>
        <v/>
      </c>
      <c r="C28" s="19" t="str">
        <f aca="false">IFERROR(INDEX(Overall!$F$2:$F$1000,MATCH("SS|27",Overall!$I$2:$I$1000,0)),"")</f>
        <v/>
      </c>
    </row>
    <row r="29" customFormat="false" ht="15" hidden="false" customHeight="false" outlineLevel="0" collapsed="false">
      <c r="A29" s="22" t="str">
        <f aca="false">IF(B29="","",COUNTIFS(Overall!$C$2:$C$1000,"SS",Overall!$F$2:$F$1000,"&gt;"&amp;C29)+1)</f>
        <v/>
      </c>
      <c r="B29" s="11" t="str">
        <f aca="false">IFERROR(INDEX(Overall!$B$2:$B$1000,MATCH("SS|28",Overall!$I$2:$I$1000,0)),"")</f>
        <v/>
      </c>
      <c r="C29" s="19" t="str">
        <f aca="false">IFERROR(INDEX(Overall!$F$2:$F$1000,MATCH("SS|28",Overall!$I$2:$I$1000,0)),"")</f>
        <v/>
      </c>
    </row>
    <row r="30" customFormat="false" ht="15" hidden="false" customHeight="false" outlineLevel="0" collapsed="false">
      <c r="A30" s="22" t="str">
        <f aca="false">IF(B30="","",COUNTIFS(Overall!$C$2:$C$1000,"SS",Overall!$F$2:$F$1000,"&gt;"&amp;C30)+1)</f>
        <v/>
      </c>
      <c r="B30" s="11" t="str">
        <f aca="false">IFERROR(INDEX(Overall!$B$2:$B$1000,MATCH("SS|29",Overall!$I$2:$I$1000,0)),"")</f>
        <v/>
      </c>
      <c r="C30" s="19" t="str">
        <f aca="false">IFERROR(INDEX(Overall!$F$2:$F$1000,MATCH("SS|29",Overall!$I$2:$I$1000,0)),"")</f>
        <v/>
      </c>
    </row>
    <row r="31" customFormat="false" ht="15" hidden="false" customHeight="false" outlineLevel="0" collapsed="false">
      <c r="A31" s="22" t="str">
        <f aca="false">IF(B31="","",COUNTIFS(Overall!$C$2:$C$1000,"SS",Overall!$F$2:$F$1000,"&gt;"&amp;C31)+1)</f>
        <v/>
      </c>
      <c r="B31" s="11" t="str">
        <f aca="false">IFERROR(INDEX(Overall!$B$2:$B$1000,MATCH("SS|30",Overall!$I$2:$I$1000,0)),"")</f>
        <v/>
      </c>
      <c r="C31" s="19" t="str">
        <f aca="false">IFERROR(INDEX(Overall!$F$2:$F$1000,MATCH("SS|30",Overall!$I$2:$I$1000,0)),"")</f>
        <v/>
      </c>
    </row>
    <row r="32" customFormat="false" ht="15" hidden="false" customHeight="false" outlineLevel="0" collapsed="false">
      <c r="A32" s="22" t="str">
        <f aca="false">IF(B32="","",COUNTIFS(Overall!$C$2:$C$1000,"SS",Overall!$F$2:$F$1000,"&gt;"&amp;C32)+1)</f>
        <v/>
      </c>
      <c r="B32" s="11" t="str">
        <f aca="false">IFERROR(INDEX(Overall!$B$2:$B$1000,MATCH("SS|31",Overall!$I$2:$I$1000,0)),"")</f>
        <v/>
      </c>
      <c r="C32" s="19" t="str">
        <f aca="false">IFERROR(INDEX(Overall!$F$2:$F$1000,MATCH("SS|31",Overall!$I$2:$I$1000,0)),"")</f>
        <v/>
      </c>
    </row>
    <row r="33" customFormat="false" ht="15" hidden="false" customHeight="false" outlineLevel="0" collapsed="false">
      <c r="A33" s="22" t="str">
        <f aca="false">IF(B33="","",COUNTIFS(Overall!$C$2:$C$1000,"SS",Overall!$F$2:$F$1000,"&gt;"&amp;C33)+1)</f>
        <v/>
      </c>
      <c r="B33" s="11" t="str">
        <f aca="false">IFERROR(INDEX(Overall!$B$2:$B$1000,MATCH("SS|32",Overall!$I$2:$I$1000,0)),"")</f>
        <v/>
      </c>
      <c r="C33" s="19" t="str">
        <f aca="false">IFERROR(INDEX(Overall!$F$2:$F$1000,MATCH("SS|32",Overall!$I$2:$I$1000,0)),"")</f>
        <v/>
      </c>
    </row>
    <row r="34" customFormat="false" ht="15" hidden="false" customHeight="false" outlineLevel="0" collapsed="false">
      <c r="A34" s="22" t="str">
        <f aca="false">IF(B34="","",COUNTIFS(Overall!$C$2:$C$1000,"SS",Overall!$F$2:$F$1000,"&gt;"&amp;C34)+1)</f>
        <v/>
      </c>
      <c r="B34" s="11" t="str">
        <f aca="false">IFERROR(INDEX(Overall!$B$2:$B$1000,MATCH("SS|33",Overall!$I$2:$I$1000,0)),"")</f>
        <v/>
      </c>
      <c r="C34" s="19" t="str">
        <f aca="false">IFERROR(INDEX(Overall!$F$2:$F$1000,MATCH("SS|33",Overall!$I$2:$I$1000,0)),"")</f>
        <v/>
      </c>
    </row>
    <row r="35" customFormat="false" ht="15" hidden="false" customHeight="false" outlineLevel="0" collapsed="false">
      <c r="A35" s="22" t="str">
        <f aca="false">IF(B35="","",COUNTIFS(Overall!$C$2:$C$1000,"SS",Overall!$F$2:$F$1000,"&gt;"&amp;C35)+1)</f>
        <v/>
      </c>
      <c r="B35" s="11" t="str">
        <f aca="false">IFERROR(INDEX(Overall!$B$2:$B$1000,MATCH("SS|34",Overall!$I$2:$I$1000,0)),"")</f>
        <v/>
      </c>
      <c r="C35" s="19" t="str">
        <f aca="false">IFERROR(INDEX(Overall!$F$2:$F$1000,MATCH("SS|34",Overall!$I$2:$I$1000,0)),"")</f>
        <v/>
      </c>
    </row>
    <row r="36" customFormat="false" ht="15" hidden="false" customHeight="false" outlineLevel="0" collapsed="false">
      <c r="A36" s="22" t="str">
        <f aca="false">IF(B36="","",COUNTIFS(Overall!$C$2:$C$1000,"SS",Overall!$F$2:$F$1000,"&gt;"&amp;C36)+1)</f>
        <v/>
      </c>
      <c r="B36" s="11" t="str">
        <f aca="false">IFERROR(INDEX(Overall!$B$2:$B$1000,MATCH("SS|35",Overall!$I$2:$I$1000,0)),"")</f>
        <v/>
      </c>
      <c r="C36" s="19" t="str">
        <f aca="false">IFERROR(INDEX(Overall!$F$2:$F$1000,MATCH("SS|35",Overall!$I$2:$I$1000,0)),"")</f>
        <v/>
      </c>
    </row>
    <row r="37" customFormat="false" ht="15" hidden="false" customHeight="false" outlineLevel="0" collapsed="false">
      <c r="A37" s="22" t="str">
        <f aca="false">IF(B37="","",COUNTIFS(Overall!$C$2:$C$1000,"SS",Overall!$F$2:$F$1000,"&gt;"&amp;C37)+1)</f>
        <v/>
      </c>
      <c r="B37" s="11" t="str">
        <f aca="false">IFERROR(INDEX(Overall!$B$2:$B$1000,MATCH("SS|36",Overall!$I$2:$I$1000,0)),"")</f>
        <v/>
      </c>
      <c r="C37" s="19" t="str">
        <f aca="false">IFERROR(INDEX(Overall!$F$2:$F$1000,MATCH("SS|36",Overall!$I$2:$I$1000,0)),"")</f>
        <v/>
      </c>
    </row>
    <row r="38" customFormat="false" ht="15" hidden="false" customHeight="false" outlineLevel="0" collapsed="false">
      <c r="A38" s="22" t="str">
        <f aca="false">IF(B38="","",COUNTIFS(Overall!$C$2:$C$1000,"SS",Overall!$F$2:$F$1000,"&gt;"&amp;C38)+1)</f>
        <v/>
      </c>
      <c r="B38" s="11" t="str">
        <f aca="false">IFERROR(INDEX(Overall!$B$2:$B$1000,MATCH("SS|37",Overall!$I$2:$I$1000,0)),"")</f>
        <v/>
      </c>
      <c r="C38" s="19" t="str">
        <f aca="false">IFERROR(INDEX(Overall!$F$2:$F$1000,MATCH("SS|37",Overall!$I$2:$I$1000,0)),"")</f>
        <v/>
      </c>
    </row>
    <row r="39" customFormat="false" ht="15" hidden="false" customHeight="false" outlineLevel="0" collapsed="false">
      <c r="A39" s="22" t="str">
        <f aca="false">IF(B39="","",COUNTIFS(Overall!$C$2:$C$1000,"SS",Overall!$F$2:$F$1000,"&gt;"&amp;C39)+1)</f>
        <v/>
      </c>
      <c r="B39" s="11" t="str">
        <f aca="false">IFERROR(INDEX(Overall!$B$2:$B$1000,MATCH("SS|38",Overall!$I$2:$I$1000,0)),"")</f>
        <v/>
      </c>
      <c r="C39" s="19" t="str">
        <f aca="false">IFERROR(INDEX(Overall!$F$2:$F$1000,MATCH("SS|38",Overall!$I$2:$I$1000,0)),"")</f>
        <v/>
      </c>
    </row>
    <row r="40" customFormat="false" ht="15" hidden="false" customHeight="false" outlineLevel="0" collapsed="false">
      <c r="A40" s="22" t="str">
        <f aca="false">IF(B40="","",COUNTIFS(Overall!$C$2:$C$1000,"SS",Overall!$F$2:$F$1000,"&gt;"&amp;C40)+1)</f>
        <v/>
      </c>
      <c r="B40" s="11" t="str">
        <f aca="false">IFERROR(INDEX(Overall!$B$2:$B$1000,MATCH("SS|39",Overall!$I$2:$I$1000,0)),"")</f>
        <v/>
      </c>
      <c r="C40" s="19" t="str">
        <f aca="false">IFERROR(INDEX(Overall!$F$2:$F$1000,MATCH("SS|39",Overall!$I$2:$I$1000,0)),"")</f>
        <v/>
      </c>
    </row>
    <row r="41" customFormat="false" ht="15" hidden="false" customHeight="false" outlineLevel="0" collapsed="false">
      <c r="A41" s="22" t="str">
        <f aca="false">IF(B41="","",COUNTIFS(Overall!$C$2:$C$1000,"SS",Overall!$F$2:$F$1000,"&gt;"&amp;C41)+1)</f>
        <v/>
      </c>
      <c r="B41" s="11" t="str">
        <f aca="false">IFERROR(INDEX(Overall!$B$2:$B$1000,MATCH("SS|40",Overall!$I$2:$I$1000,0)),"")</f>
        <v/>
      </c>
      <c r="C41" s="19" t="str">
        <f aca="false">IFERROR(INDEX(Overall!$F$2:$F$1000,MATCH("SS|40",Overall!$I$2:$I$1000,0)),"")</f>
        <v/>
      </c>
    </row>
    <row r="42" customFormat="false" ht="15" hidden="false" customHeight="false" outlineLevel="0" collapsed="false">
      <c r="A42" s="22" t="str">
        <f aca="false">IF(B42="","",COUNTIFS(Overall!$C$2:$C$1000,"SS",Overall!$F$2:$F$1000,"&gt;"&amp;C42)+1)</f>
        <v/>
      </c>
      <c r="B42" s="11" t="str">
        <f aca="false">IFERROR(INDEX(Overall!$B$2:$B$1000,MATCH("SS|41",Overall!$I$2:$I$1000,0)),"")</f>
        <v/>
      </c>
      <c r="C42" s="19" t="str">
        <f aca="false">IFERROR(INDEX(Overall!$F$2:$F$1000,MATCH("SS|41",Overall!$I$2:$I$1000,0)),"")</f>
        <v/>
      </c>
    </row>
    <row r="43" customFormat="false" ht="15" hidden="false" customHeight="false" outlineLevel="0" collapsed="false">
      <c r="A43" s="22" t="str">
        <f aca="false">IF(B43="","",COUNTIFS(Overall!$C$2:$C$1000,"SS",Overall!$F$2:$F$1000,"&gt;"&amp;C43)+1)</f>
        <v/>
      </c>
      <c r="B43" s="11" t="str">
        <f aca="false">IFERROR(INDEX(Overall!$B$2:$B$1000,MATCH("SS|42",Overall!$I$2:$I$1000,0)),"")</f>
        <v/>
      </c>
      <c r="C43" s="19" t="str">
        <f aca="false">IFERROR(INDEX(Overall!$F$2:$F$1000,MATCH("SS|42",Overall!$I$2:$I$1000,0)),"")</f>
        <v/>
      </c>
    </row>
    <row r="44" customFormat="false" ht="15" hidden="false" customHeight="false" outlineLevel="0" collapsed="false">
      <c r="A44" s="22" t="str">
        <f aca="false">IF(B44="","",COUNTIFS(Overall!$C$2:$C$1000,"SS",Overall!$F$2:$F$1000,"&gt;"&amp;C44)+1)</f>
        <v/>
      </c>
      <c r="B44" s="11" t="str">
        <f aca="false">IFERROR(INDEX(Overall!$B$2:$B$1000,MATCH("SS|43",Overall!$I$2:$I$1000,0)),"")</f>
        <v/>
      </c>
      <c r="C44" s="19" t="str">
        <f aca="false">IFERROR(INDEX(Overall!$F$2:$F$1000,MATCH("SS|43",Overall!$I$2:$I$1000,0)),"")</f>
        <v/>
      </c>
    </row>
    <row r="45" customFormat="false" ht="15" hidden="false" customHeight="false" outlineLevel="0" collapsed="false">
      <c r="A45" s="22" t="str">
        <f aca="false">IF(B45="","",COUNTIFS(Overall!$C$2:$C$1000,"SS",Overall!$F$2:$F$1000,"&gt;"&amp;C45)+1)</f>
        <v/>
      </c>
      <c r="B45" s="11" t="str">
        <f aca="false">IFERROR(INDEX(Overall!$B$2:$B$1000,MATCH("SS|44",Overall!$I$2:$I$1000,0)),"")</f>
        <v/>
      </c>
      <c r="C45" s="19" t="str">
        <f aca="false">IFERROR(INDEX(Overall!$F$2:$F$1000,MATCH("SS|44",Overall!$I$2:$I$1000,0)),"")</f>
        <v/>
      </c>
    </row>
    <row r="46" customFormat="false" ht="15" hidden="false" customHeight="false" outlineLevel="0" collapsed="false">
      <c r="A46" s="22" t="str">
        <f aca="false">IF(B46="","",COUNTIFS(Overall!$C$2:$C$1000,"SS",Overall!$F$2:$F$1000,"&gt;"&amp;C46)+1)</f>
        <v/>
      </c>
      <c r="B46" s="11" t="str">
        <f aca="false">IFERROR(INDEX(Overall!$B$2:$B$1000,MATCH("SS|45",Overall!$I$2:$I$1000,0)),"")</f>
        <v/>
      </c>
      <c r="C46" s="19" t="str">
        <f aca="false">IFERROR(INDEX(Overall!$F$2:$F$1000,MATCH("SS|45",Overall!$I$2:$I$1000,0)),"")</f>
        <v/>
      </c>
    </row>
    <row r="47" customFormat="false" ht="15" hidden="false" customHeight="false" outlineLevel="0" collapsed="false">
      <c r="A47" s="22" t="str">
        <f aca="false">IF(B47="","",COUNTIFS(Overall!$C$2:$C$1000,"SS",Overall!$F$2:$F$1000,"&gt;"&amp;C47)+1)</f>
        <v/>
      </c>
      <c r="B47" s="11" t="str">
        <f aca="false">IFERROR(INDEX(Overall!$B$2:$B$1000,MATCH("SS|46",Overall!$I$2:$I$1000,0)),"")</f>
        <v/>
      </c>
      <c r="C47" s="19" t="str">
        <f aca="false">IFERROR(INDEX(Overall!$F$2:$F$1000,MATCH("SS|46",Overall!$I$2:$I$1000,0)),"")</f>
        <v/>
      </c>
    </row>
    <row r="48" customFormat="false" ht="15" hidden="false" customHeight="false" outlineLevel="0" collapsed="false">
      <c r="A48" s="22" t="str">
        <f aca="false">IF(B48="","",COUNTIFS(Overall!$C$2:$C$1000,"SS",Overall!$F$2:$F$1000,"&gt;"&amp;C48)+1)</f>
        <v/>
      </c>
      <c r="B48" s="11" t="str">
        <f aca="false">IFERROR(INDEX(Overall!$B$2:$B$1000,MATCH("SS|47",Overall!$I$2:$I$1000,0)),"")</f>
        <v/>
      </c>
      <c r="C48" s="19" t="str">
        <f aca="false">IFERROR(INDEX(Overall!$F$2:$F$1000,MATCH("SS|47",Overall!$I$2:$I$1000,0)),"")</f>
        <v/>
      </c>
    </row>
    <row r="49" customFormat="false" ht="15" hidden="false" customHeight="false" outlineLevel="0" collapsed="false">
      <c r="A49" s="22" t="str">
        <f aca="false">IF(B49="","",COUNTIFS(Overall!$C$2:$C$1000,"SS",Overall!$F$2:$F$1000,"&gt;"&amp;C49)+1)</f>
        <v/>
      </c>
      <c r="B49" s="11" t="str">
        <f aca="false">IFERROR(INDEX(Overall!$B$2:$B$1000,MATCH("SS|48",Overall!$I$2:$I$1000,0)),"")</f>
        <v/>
      </c>
      <c r="C49" s="19" t="str">
        <f aca="false">IFERROR(INDEX(Overall!$F$2:$F$1000,MATCH("SS|48",Overall!$I$2:$I$1000,0)),"")</f>
        <v/>
      </c>
    </row>
    <row r="50" customFormat="false" ht="15" hidden="false" customHeight="false" outlineLevel="0" collapsed="false">
      <c r="A50" s="22" t="str">
        <f aca="false">IF(B50="","",COUNTIFS(Overall!$C$2:$C$1000,"SS",Overall!$F$2:$F$1000,"&gt;"&amp;C50)+1)</f>
        <v/>
      </c>
      <c r="B50" s="11" t="str">
        <f aca="false">IFERROR(INDEX(Overall!$B$2:$B$1000,MATCH("SS|49",Overall!$I$2:$I$1000,0)),"")</f>
        <v/>
      </c>
      <c r="C50" s="19" t="str">
        <f aca="false">IFERROR(INDEX(Overall!$F$2:$F$1000,MATCH("SS|49",Overall!$I$2:$I$1000,0)),"")</f>
        <v/>
      </c>
    </row>
    <row r="51" customFormat="false" ht="15" hidden="false" customHeight="false" outlineLevel="0" collapsed="false">
      <c r="A51" s="22" t="str">
        <f aca="false">IF(B51="","",COUNTIFS(Overall!$C$2:$C$1000,"SS",Overall!$F$2:$F$1000,"&gt;"&amp;C51)+1)</f>
        <v/>
      </c>
      <c r="B51" s="11" t="str">
        <f aca="false">IFERROR(INDEX(Overall!$B$2:$B$1000,MATCH("SS|50",Overall!$I$2:$I$1000,0)),"")</f>
        <v/>
      </c>
      <c r="C51" s="19" t="str">
        <f aca="false">IFERROR(INDEX(Overall!$F$2:$F$1000,MATCH("SS|50",Overall!$I$2:$I$1000,0)),"")</f>
        <v/>
      </c>
    </row>
    <row r="52" customFormat="false" ht="15" hidden="false" customHeight="false" outlineLevel="0" collapsed="false">
      <c r="A52" s="22" t="str">
        <f aca="false">IF(B52="","",COUNTIFS(Overall!$C$2:$C$1000,"SS",Overall!$F$2:$F$1000,"&gt;"&amp;C52)+1)</f>
        <v/>
      </c>
      <c r="B52" s="11" t="str">
        <f aca="false">IFERROR(INDEX(Overall!$B$2:$B$1000,MATCH("SS|51",Overall!$I$2:$I$1000,0)),"")</f>
        <v/>
      </c>
      <c r="C52" s="19" t="str">
        <f aca="false">IFERROR(INDEX(Overall!$F$2:$F$1000,MATCH("SS|51",Overall!$I$2:$I$1000,0)),"")</f>
        <v/>
      </c>
    </row>
    <row r="53" customFormat="false" ht="15" hidden="false" customHeight="false" outlineLevel="0" collapsed="false">
      <c r="A53" s="22" t="str">
        <f aca="false">IF(B53="","",COUNTIFS(Overall!$C$2:$C$1000,"SS",Overall!$F$2:$F$1000,"&gt;"&amp;C53)+1)</f>
        <v/>
      </c>
      <c r="B53" s="11" t="str">
        <f aca="false">IFERROR(INDEX(Overall!$B$2:$B$1000,MATCH("SS|52",Overall!$I$2:$I$1000,0)),"")</f>
        <v/>
      </c>
      <c r="C53" s="19" t="str">
        <f aca="false">IFERROR(INDEX(Overall!$F$2:$F$1000,MATCH("SS|52",Overall!$I$2:$I$1000,0)),"")</f>
        <v/>
      </c>
    </row>
    <row r="54" customFormat="false" ht="15" hidden="false" customHeight="false" outlineLevel="0" collapsed="false">
      <c r="A54" s="22" t="str">
        <f aca="false">IF(B54="","",COUNTIFS(Overall!$C$2:$C$1000,"SS",Overall!$F$2:$F$1000,"&gt;"&amp;C54)+1)</f>
        <v/>
      </c>
      <c r="B54" s="11" t="str">
        <f aca="false">IFERROR(INDEX(Overall!$B$2:$B$1000,MATCH("SS|53",Overall!$I$2:$I$1000,0)),"")</f>
        <v/>
      </c>
      <c r="C54" s="19" t="str">
        <f aca="false">IFERROR(INDEX(Overall!$F$2:$F$1000,MATCH("SS|53",Overall!$I$2:$I$1000,0)),"")</f>
        <v/>
      </c>
    </row>
    <row r="55" customFormat="false" ht="15" hidden="false" customHeight="false" outlineLevel="0" collapsed="false">
      <c r="A55" s="22" t="str">
        <f aca="false">IF(B55="","",COUNTIFS(Overall!$C$2:$C$1000,"SS",Overall!$F$2:$F$1000,"&gt;"&amp;C55)+1)</f>
        <v/>
      </c>
      <c r="B55" s="11" t="str">
        <f aca="false">IFERROR(INDEX(Overall!$B$2:$B$1000,MATCH("SS|54",Overall!$I$2:$I$1000,0)),"")</f>
        <v/>
      </c>
      <c r="C55" s="19" t="str">
        <f aca="false">IFERROR(INDEX(Overall!$F$2:$F$1000,MATCH("SS|54",Overall!$I$2:$I$1000,0)),"")</f>
        <v/>
      </c>
    </row>
    <row r="56" customFormat="false" ht="15" hidden="false" customHeight="false" outlineLevel="0" collapsed="false">
      <c r="A56" s="22" t="str">
        <f aca="false">IF(B56="","",COUNTIFS(Overall!$C$2:$C$1000,"SS",Overall!$F$2:$F$1000,"&gt;"&amp;C56)+1)</f>
        <v/>
      </c>
      <c r="B56" s="11" t="str">
        <f aca="false">IFERROR(INDEX(Overall!$B$2:$B$1000,MATCH("SS|55",Overall!$I$2:$I$1000,0)),"")</f>
        <v/>
      </c>
      <c r="C56" s="19" t="str">
        <f aca="false">IFERROR(INDEX(Overall!$F$2:$F$1000,MATCH("SS|55",Overall!$I$2:$I$1000,0)),"")</f>
        <v/>
      </c>
    </row>
    <row r="57" customFormat="false" ht="15" hidden="false" customHeight="false" outlineLevel="0" collapsed="false">
      <c r="A57" s="22" t="str">
        <f aca="false">IF(B57="","",COUNTIFS(Overall!$C$2:$C$1000,"SS",Overall!$F$2:$F$1000,"&gt;"&amp;C57)+1)</f>
        <v/>
      </c>
      <c r="B57" s="11" t="str">
        <f aca="false">IFERROR(INDEX(Overall!$B$2:$B$1000,MATCH("SS|56",Overall!$I$2:$I$1000,0)),"")</f>
        <v/>
      </c>
      <c r="C57" s="19" t="str">
        <f aca="false">IFERROR(INDEX(Overall!$F$2:$F$1000,MATCH("SS|56",Overall!$I$2:$I$1000,0)),"")</f>
        <v/>
      </c>
    </row>
    <row r="58" customFormat="false" ht="15" hidden="false" customHeight="false" outlineLevel="0" collapsed="false">
      <c r="A58" s="22" t="str">
        <f aca="false">IF(B58="","",COUNTIFS(Overall!$C$2:$C$1000,"SS",Overall!$F$2:$F$1000,"&gt;"&amp;C58)+1)</f>
        <v/>
      </c>
      <c r="B58" s="11" t="str">
        <f aca="false">IFERROR(INDEX(Overall!$B$2:$B$1000,MATCH("SS|57",Overall!$I$2:$I$1000,0)),"")</f>
        <v/>
      </c>
      <c r="C58" s="19" t="str">
        <f aca="false">IFERROR(INDEX(Overall!$F$2:$F$1000,MATCH("SS|57",Overall!$I$2:$I$1000,0)),"")</f>
        <v/>
      </c>
    </row>
    <row r="59" customFormat="false" ht="15" hidden="false" customHeight="false" outlineLevel="0" collapsed="false">
      <c r="A59" s="22" t="str">
        <f aca="false">IF(B59="","",COUNTIFS(Overall!$C$2:$C$1000,"SS",Overall!$F$2:$F$1000,"&gt;"&amp;C59)+1)</f>
        <v/>
      </c>
      <c r="B59" s="11" t="str">
        <f aca="false">IFERROR(INDEX(Overall!$B$2:$B$1000,MATCH("SS|58",Overall!$I$2:$I$1000,0)),"")</f>
        <v/>
      </c>
      <c r="C59" s="19" t="str">
        <f aca="false">IFERROR(INDEX(Overall!$F$2:$F$1000,MATCH("SS|58",Overall!$I$2:$I$1000,0)),"")</f>
        <v/>
      </c>
    </row>
    <row r="60" customFormat="false" ht="15" hidden="false" customHeight="false" outlineLevel="0" collapsed="false">
      <c r="A60" s="22" t="str">
        <f aca="false">IF(B60="","",COUNTIFS(Overall!$C$2:$C$1000,"SS",Overall!$F$2:$F$1000,"&gt;"&amp;C60)+1)</f>
        <v/>
      </c>
      <c r="B60" s="11" t="str">
        <f aca="false">IFERROR(INDEX(Overall!$B$2:$B$1000,MATCH("SS|59",Overall!$I$2:$I$1000,0)),"")</f>
        <v/>
      </c>
      <c r="C60" s="19" t="str">
        <f aca="false">IFERROR(INDEX(Overall!$F$2:$F$1000,MATCH("SS|59",Overall!$I$2:$I$1000,0)),"")</f>
        <v/>
      </c>
    </row>
    <row r="61" customFormat="false" ht="15" hidden="false" customHeight="false" outlineLevel="0" collapsed="false">
      <c r="A61" s="22" t="str">
        <f aca="false">IF(B61="","",COUNTIFS(Overall!$C$2:$C$1000,"SS",Overall!$F$2:$F$1000,"&gt;"&amp;C61)+1)</f>
        <v/>
      </c>
      <c r="B61" s="11" t="str">
        <f aca="false">IFERROR(INDEX(Overall!$B$2:$B$1000,MATCH("SS|60",Overall!$I$2:$I$1000,0)),"")</f>
        <v/>
      </c>
      <c r="C61" s="19" t="str">
        <f aca="false">IFERROR(INDEX(Overall!$F$2:$F$1000,MATCH("SS|60",Overall!$I$2:$I$1000,0)),"")</f>
        <v/>
      </c>
    </row>
    <row r="62" customFormat="false" ht="15" hidden="false" customHeight="false" outlineLevel="0" collapsed="false">
      <c r="A62" s="22" t="str">
        <f aca="false">IF(B62="","",COUNTIFS(Overall!$C$2:$C$1000,"SS",Overall!$F$2:$F$1000,"&gt;"&amp;C62)+1)</f>
        <v/>
      </c>
      <c r="B62" s="11" t="str">
        <f aca="false">IFERROR(INDEX(Overall!$B$2:$B$1000,MATCH("SS|61",Overall!$I$2:$I$1000,0)),"")</f>
        <v/>
      </c>
      <c r="C62" s="19" t="str">
        <f aca="false">IFERROR(INDEX(Overall!$F$2:$F$1000,MATCH("SS|61",Overall!$I$2:$I$1000,0)),"")</f>
        <v/>
      </c>
    </row>
    <row r="63" customFormat="false" ht="15" hidden="false" customHeight="false" outlineLevel="0" collapsed="false">
      <c r="A63" s="22" t="str">
        <f aca="false">IF(B63="","",COUNTIFS(Overall!$C$2:$C$1000,"SS",Overall!$F$2:$F$1000,"&gt;"&amp;C63)+1)</f>
        <v/>
      </c>
      <c r="B63" s="11" t="str">
        <f aca="false">IFERROR(INDEX(Overall!$B$2:$B$1000,MATCH("SS|62",Overall!$I$2:$I$1000,0)),"")</f>
        <v/>
      </c>
      <c r="C63" s="19" t="str">
        <f aca="false">IFERROR(INDEX(Overall!$F$2:$F$1000,MATCH("SS|62",Overall!$I$2:$I$1000,0)),"")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IF(B64="","",COUNTIFS(Overall!$C$2:$C$1000,"SS",Overall!$F$2:$F$1000,"&gt;"&amp;C64)+1)</f>
        <v/>
      </c>
      <c r="B64" s="11" t="str">
        <f aca="false">IFERROR(INDEX(Overall!$B$2:$B$1000,MATCH("SS|63",Overall!$I$2:$I$1000,0)),"")</f>
        <v/>
      </c>
      <c r="C64" s="19" t="str">
        <f aca="false">IFERROR(INDEX(Overall!$F$2:$F$1000,MATCH("SS|63",Overall!$I$2:$I$1000,0)),"")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IF(B65="","",COUNTIFS(Overall!$C$2:$C$1000,"SS",Overall!$F$2:$F$1000,"&gt;"&amp;C65)+1)</f>
        <v/>
      </c>
      <c r="B65" s="11" t="str">
        <f aca="false">IFERROR(INDEX(Overall!$B$2:$B$1000,MATCH("SS|64",Overall!$I$2:$I$1000,0)),"")</f>
        <v/>
      </c>
      <c r="C65" s="19" t="str">
        <f aca="false">IFERROR(INDEX(Overall!$F$2:$F$1000,MATCH("SS|64",Overall!$I$2:$I$1000,0)),"")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IF(B66="","",COUNTIFS(Overall!$C$2:$C$1000,"SS",Overall!$F$2:$F$1000,"&gt;"&amp;C66)+1)</f>
        <v/>
      </c>
      <c r="B66" s="11" t="str">
        <f aca="false">IFERROR(INDEX(Overall!$B$2:$B$1000,MATCH("SS|65",Overall!$I$2:$I$1000,0)),"")</f>
        <v/>
      </c>
      <c r="C66" s="19" t="str">
        <f aca="false">IFERROR(INDEX(Overall!$F$2:$F$1000,MATCH("SS|65",Overall!$I$2:$I$1000,0)),"")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IF(B67="","",COUNTIFS(Overall!$C$2:$C$1000,"SS",Overall!$F$2:$F$1000,"&gt;"&amp;C67)+1)</f>
        <v/>
      </c>
      <c r="B67" s="11" t="str">
        <f aca="false">IFERROR(INDEX(Overall!$B$2:$B$1000,MATCH("SS|66",Overall!$I$2:$I$1000,0)),"")</f>
        <v/>
      </c>
      <c r="C67" s="19" t="str">
        <f aca="false">IFERROR(INDEX(Overall!$F$2:$F$1000,MATCH("SS|66",Overall!$I$2:$I$1000,0)),"")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IF(B68="","",COUNTIFS(Overall!$C$2:$C$1000,"SS",Overall!$F$2:$F$1000,"&gt;"&amp;C68)+1)</f>
        <v/>
      </c>
      <c r="B68" s="11" t="str">
        <f aca="false">IFERROR(INDEX(Overall!$B$2:$B$1000,MATCH("SS|67",Overall!$I$2:$I$1000,0)),"")</f>
        <v/>
      </c>
      <c r="C68" s="19" t="str">
        <f aca="false">IFERROR(INDEX(Overall!$F$2:$F$1000,MATCH("SS|67",Overall!$I$2:$I$1000,0)),"")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IF(B69="","",COUNTIFS(Overall!$C$2:$C$1000,"SS",Overall!$F$2:$F$1000,"&gt;"&amp;C69)+1)</f>
        <v/>
      </c>
      <c r="B69" s="11" t="str">
        <f aca="false">IFERROR(INDEX(Overall!$B$2:$B$1000,MATCH("SS|68",Overall!$I$2:$I$1000,0)),"")</f>
        <v/>
      </c>
      <c r="C69" s="19" t="str">
        <f aca="false">IFERROR(INDEX(Overall!$F$2:$F$1000,MATCH("SS|68",Overall!$I$2:$I$1000,0)),"")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IF(B70="","",COUNTIFS(Overall!$C$2:$C$1000,"SS",Overall!$F$2:$F$1000,"&gt;"&amp;C70)+1)</f>
        <v/>
      </c>
      <c r="B70" s="11" t="str">
        <f aca="false">IFERROR(INDEX(Overall!$B$2:$B$1000,MATCH("SS|69",Overall!$I$2:$I$1000,0)),"")</f>
        <v/>
      </c>
      <c r="C70" s="19" t="str">
        <f aca="false">IFERROR(INDEX(Overall!$F$2:$F$1000,MATCH("SS|69",Overall!$I$2:$I$1000,0)),"")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IF(B71="","",COUNTIFS(Overall!$C$2:$C$1000,"SS",Overall!$F$2:$F$1000,"&gt;"&amp;C71)+1)</f>
        <v/>
      </c>
      <c r="B71" s="11" t="str">
        <f aca="false">IFERROR(INDEX(Overall!$B$2:$B$1000,MATCH("SS|70",Overall!$I$2:$I$1000,0)),"")</f>
        <v/>
      </c>
      <c r="C71" s="19" t="str">
        <f aca="false">IFERROR(INDEX(Overall!$F$2:$F$1000,MATCH("SS|70",Overall!$I$2:$I$1000,0)),"")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IF(B72="","",COUNTIFS(Overall!$C$2:$C$1000,"SS",Overall!$F$2:$F$1000,"&gt;"&amp;C72)+1)</f>
        <v/>
      </c>
      <c r="B72" s="11" t="str">
        <f aca="false">IFERROR(INDEX(Overall!$B$2:$B$1000,MATCH("SS|71",Overall!$I$2:$I$1000,0)),"")</f>
        <v/>
      </c>
      <c r="C72" s="19" t="str">
        <f aca="false">IFERROR(INDEX(Overall!$F$2:$F$1000,MATCH("SS|71",Overall!$I$2:$I$1000,0)),"")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IF(B73="","",COUNTIFS(Overall!$C$2:$C$1000,"SS",Overall!$F$2:$F$1000,"&gt;"&amp;C73)+1)</f>
        <v/>
      </c>
      <c r="B73" s="11" t="str">
        <f aca="false">IFERROR(INDEX(Overall!$B$2:$B$1000,MATCH("SS|72",Overall!$I$2:$I$1000,0)),"")</f>
        <v/>
      </c>
      <c r="C73" s="19" t="str">
        <f aca="false">IFERROR(INDEX(Overall!$F$2:$F$1000,MATCH("SS|72",Overall!$I$2:$I$1000,0)),"")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IF(B74="","",COUNTIFS(Overall!$C$2:$C$1000,"SS",Overall!$F$2:$F$1000,"&gt;"&amp;C74)+1)</f>
        <v/>
      </c>
      <c r="B74" s="11" t="str">
        <f aca="false">IFERROR(INDEX(Overall!$B$2:$B$1000,MATCH("SS|73",Overall!$I$2:$I$1000,0)),"")</f>
        <v/>
      </c>
      <c r="C74" s="19" t="str">
        <f aca="false">IFERROR(INDEX(Overall!$F$2:$F$1000,MATCH("SS|73",Overall!$I$2:$I$1000,0)),"")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IF(B75="","",COUNTIFS(Overall!$C$2:$C$1000,"SS",Overall!$F$2:$F$1000,"&gt;"&amp;C75)+1)</f>
        <v/>
      </c>
      <c r="B75" s="11" t="str">
        <f aca="false">IFERROR(INDEX(Overall!$B$2:$B$1000,MATCH("SS|74",Overall!$I$2:$I$1000,0)),"")</f>
        <v/>
      </c>
      <c r="C75" s="19" t="str">
        <f aca="false">IFERROR(INDEX(Overall!$F$2:$F$1000,MATCH("SS|74",Overall!$I$2:$I$1000,0)),"")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IF(B76="","",COUNTIFS(Overall!$C$2:$C$1000,"SS",Overall!$F$2:$F$1000,"&gt;"&amp;C76)+1)</f>
        <v/>
      </c>
      <c r="B76" s="11" t="str">
        <f aca="false">IFERROR(INDEX(Overall!$B$2:$B$1000,MATCH("SS|75",Overall!$I$2:$I$1000,0)),"")</f>
        <v/>
      </c>
      <c r="C76" s="19" t="str">
        <f aca="false">IFERROR(INDEX(Overall!$F$2:$F$1000,MATCH("SS|75",Overall!$I$2:$I$1000,0)),"")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IF(B77="","",COUNTIFS(Overall!$C$2:$C$1000,"SS",Overall!$F$2:$F$1000,"&gt;"&amp;C77)+1)</f>
        <v/>
      </c>
      <c r="B77" s="11" t="str">
        <f aca="false">IFERROR(INDEX(Overall!$B$2:$B$1000,MATCH("SS|76",Overall!$I$2:$I$1000,0)),"")</f>
        <v/>
      </c>
      <c r="C77" s="19" t="str">
        <f aca="false">IFERROR(INDEX(Overall!$F$2:$F$1000,MATCH("SS|76",Overall!$I$2:$I$1000,0)),"")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IF(B78="","",COUNTIFS(Overall!$C$2:$C$1000,"SS",Overall!$F$2:$F$1000,"&gt;"&amp;C78)+1)</f>
        <v/>
      </c>
      <c r="B78" s="11" t="str">
        <f aca="false">IFERROR(INDEX(Overall!$B$2:$B$1000,MATCH("SS|77",Overall!$I$2:$I$1000,0)),"")</f>
        <v/>
      </c>
      <c r="C78" s="19" t="str">
        <f aca="false">IFERROR(INDEX(Overall!$F$2:$F$1000,MATCH("SS|77",Overall!$I$2:$I$1000,0)),"")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IF(B79="","",COUNTIFS(Overall!$C$2:$C$1000,"SS",Overall!$F$2:$F$1000,"&gt;"&amp;C79)+1)</f>
        <v/>
      </c>
      <c r="B79" s="11" t="str">
        <f aca="false">IFERROR(INDEX(Overall!$B$2:$B$1000,MATCH("SS|78",Overall!$I$2:$I$1000,0)),"")</f>
        <v/>
      </c>
      <c r="C79" s="19" t="str">
        <f aca="false">IFERROR(INDEX(Overall!$F$2:$F$1000,MATCH("SS|78",Overall!$I$2:$I$1000,0)),"")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IF(B80="","",COUNTIFS(Overall!$C$2:$C$1000,"SS",Overall!$F$2:$F$1000,"&gt;"&amp;C80)+1)</f>
        <v/>
      </c>
      <c r="B80" s="11" t="str">
        <f aca="false">IFERROR(INDEX(Overall!$B$2:$B$1000,MATCH("SS|79",Overall!$I$2:$I$1000,0)),"")</f>
        <v/>
      </c>
      <c r="C80" s="19" t="str">
        <f aca="false">IFERROR(INDEX(Overall!$F$2:$F$1000,MATCH("SS|79",Overall!$I$2:$I$1000,0)),"")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IF(B81="","",COUNTIFS(Overall!$C$2:$C$1000,"SS",Overall!$F$2:$F$1000,"&gt;"&amp;C81)+1)</f>
        <v/>
      </c>
      <c r="B81" s="11" t="str">
        <f aca="false">IFERROR(INDEX(Overall!$B$2:$B$1000,MATCH("SS|80",Overall!$I$2:$I$1000,0)),"")</f>
        <v/>
      </c>
      <c r="C81" s="19" t="str">
        <f aca="false">IFERROR(INDEX(Overall!$F$2:$F$1000,MATCH("SS|80",Overall!$I$2:$I$1000,0)),"")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IF(B82="","",COUNTIFS(Overall!$C$2:$C$1000,"SS",Overall!$F$2:$F$1000,"&gt;"&amp;C82)+1)</f>
        <v/>
      </c>
      <c r="B82" s="11" t="str">
        <f aca="false">IFERROR(INDEX(Overall!$B$2:$B$1000,MATCH("SS|81",Overall!$I$2:$I$1000,0)),"")</f>
        <v/>
      </c>
      <c r="C82" s="19" t="str">
        <f aca="false">IFERROR(INDEX(Overall!$F$2:$F$1000,MATCH("SS|81",Overall!$I$2:$I$1000,0)),"")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IF(B83="","",COUNTIFS(Overall!$C$2:$C$1000,"SS",Overall!$F$2:$F$1000,"&gt;"&amp;C83)+1)</f>
        <v/>
      </c>
      <c r="B83" s="11" t="str">
        <f aca="false">IFERROR(INDEX(Overall!$B$2:$B$1000,MATCH("SS|82",Overall!$I$2:$I$1000,0)),"")</f>
        <v/>
      </c>
      <c r="C83" s="19" t="str">
        <f aca="false">IFERROR(INDEX(Overall!$F$2:$F$1000,MATCH("SS|82",Overall!$I$2:$I$1000,0)),"")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IF(B84="","",COUNTIFS(Overall!$C$2:$C$1000,"SS",Overall!$F$2:$F$1000,"&gt;"&amp;C84)+1)</f>
        <v/>
      </c>
      <c r="B84" s="11" t="str">
        <f aca="false">IFERROR(INDEX(Overall!$B$2:$B$1000,MATCH("SS|83",Overall!$I$2:$I$1000,0)),"")</f>
        <v/>
      </c>
      <c r="C84" s="19" t="str">
        <f aca="false">IFERROR(INDEX(Overall!$F$2:$F$1000,MATCH("SS|83",Overall!$I$2:$I$1000,0)),"")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IF(B85="","",COUNTIFS(Overall!$C$2:$C$1000,"SS",Overall!$F$2:$F$1000,"&gt;"&amp;C85)+1)</f>
        <v/>
      </c>
      <c r="B85" s="11" t="str">
        <f aca="false">IFERROR(INDEX(Overall!$B$2:$B$1000,MATCH("SS|84",Overall!$I$2:$I$1000,0)),"")</f>
        <v/>
      </c>
      <c r="C85" s="19" t="str">
        <f aca="false">IFERROR(INDEX(Overall!$F$2:$F$1000,MATCH("SS|84",Overall!$I$2:$I$1000,0)),"")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IF(B86="","",COUNTIFS(Overall!$C$2:$C$1000,"SS",Overall!$F$2:$F$1000,"&gt;"&amp;C86)+1)</f>
        <v/>
      </c>
      <c r="B86" s="11" t="str">
        <f aca="false">IFERROR(INDEX(Overall!$B$2:$B$1000,MATCH("SS|85",Overall!$I$2:$I$1000,0)),"")</f>
        <v/>
      </c>
      <c r="C86" s="19" t="str">
        <f aca="false">IFERROR(INDEX(Overall!$F$2:$F$1000,MATCH("SS|85",Overall!$I$2:$I$1000,0)),"")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IF(B87="","",COUNTIFS(Overall!$C$2:$C$1000,"SS",Overall!$F$2:$F$1000,"&gt;"&amp;C87)+1)</f>
        <v/>
      </c>
      <c r="B87" s="11" t="str">
        <f aca="false">IFERROR(INDEX(Overall!$B$2:$B$1000,MATCH("SS|86",Overall!$I$2:$I$1000,0)),"")</f>
        <v/>
      </c>
      <c r="C87" s="19" t="str">
        <f aca="false">IFERROR(INDEX(Overall!$F$2:$F$1000,MATCH("SS|86",Overall!$I$2:$I$1000,0)),"")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IF(B88="","",COUNTIFS(Overall!$C$2:$C$1000,"SS",Overall!$F$2:$F$1000,"&gt;"&amp;C88)+1)</f>
        <v/>
      </c>
      <c r="B88" s="11" t="str">
        <f aca="false">IFERROR(INDEX(Overall!$B$2:$B$1000,MATCH("SS|87",Overall!$I$2:$I$1000,0)),"")</f>
        <v/>
      </c>
      <c r="C88" s="19" t="str">
        <f aca="false">IFERROR(INDEX(Overall!$F$2:$F$1000,MATCH("SS|87",Overall!$I$2:$I$1000,0)),"")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IF(B89="","",COUNTIFS(Overall!$C$2:$C$1000,"SS",Overall!$F$2:$F$1000,"&gt;"&amp;C89)+1)</f>
        <v/>
      </c>
      <c r="B89" s="11" t="str">
        <f aca="false">IFERROR(INDEX(Overall!$B$2:$B$1000,MATCH("SS|88",Overall!$I$2:$I$1000,0)),"")</f>
        <v/>
      </c>
      <c r="C89" s="19" t="str">
        <f aca="false">IFERROR(INDEX(Overall!$F$2:$F$1000,MATCH("SS|88",Overall!$I$2:$I$1000,0)),"")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IF(B90="","",COUNTIFS(Overall!$C$2:$C$1000,"SS",Overall!$F$2:$F$1000,"&gt;"&amp;C90)+1)</f>
        <v/>
      </c>
      <c r="B90" s="11" t="str">
        <f aca="false">IFERROR(INDEX(Overall!$B$2:$B$1000,MATCH("SS|89",Overall!$I$2:$I$1000,0)),"")</f>
        <v/>
      </c>
      <c r="C90" s="19" t="str">
        <f aca="false">IFERROR(INDEX(Overall!$F$2:$F$1000,MATCH("SS|89",Overall!$I$2:$I$1000,0)),"")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IF(B91="","",COUNTIFS(Overall!$C$2:$C$1000,"SS",Overall!$F$2:$F$1000,"&gt;"&amp;C91)+1)</f>
        <v/>
      </c>
      <c r="B91" s="11" t="str">
        <f aca="false">IFERROR(INDEX(Overall!$B$2:$B$1000,MATCH("SS|90",Overall!$I$2:$I$1000,0)),"")</f>
        <v/>
      </c>
      <c r="C91" s="19" t="str">
        <f aca="false">IFERROR(INDEX(Overall!$F$2:$F$1000,MATCH("SS|90",Overall!$I$2:$I$1000,0)),"")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IF(B92="","",COUNTIFS(Overall!$C$2:$C$1000,"SS",Overall!$F$2:$F$1000,"&gt;"&amp;C92)+1)</f>
        <v/>
      </c>
      <c r="B92" s="11" t="str">
        <f aca="false">IFERROR(INDEX(Overall!$B$2:$B$1000,MATCH("SS|91",Overall!$I$2:$I$1000,0)),"")</f>
        <v/>
      </c>
      <c r="C92" s="19" t="str">
        <f aca="false">IFERROR(INDEX(Overall!$F$2:$F$1000,MATCH("SS|91",Overall!$I$2:$I$1000,0)),"")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IF(B93="","",COUNTIFS(Overall!$C$2:$C$1000,"SS",Overall!$F$2:$F$1000,"&gt;"&amp;C93)+1)</f>
        <v/>
      </c>
      <c r="B93" s="11" t="str">
        <f aca="false">IFERROR(INDEX(Overall!$B$2:$B$1000,MATCH("SS|92",Overall!$I$2:$I$1000,0)),"")</f>
        <v/>
      </c>
      <c r="C93" s="19" t="str">
        <f aca="false">IFERROR(INDEX(Overall!$F$2:$F$1000,MATCH("SS|92",Overall!$I$2:$I$1000,0)),"")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IF(B94="","",COUNTIFS(Overall!$C$2:$C$1000,"SS",Overall!$F$2:$F$1000,"&gt;"&amp;C94)+1)</f>
        <v/>
      </c>
      <c r="B94" s="11" t="str">
        <f aca="false">IFERROR(INDEX(Overall!$B$2:$B$1000,MATCH("SS|93",Overall!$I$2:$I$1000,0)),"")</f>
        <v/>
      </c>
      <c r="C94" s="19" t="str">
        <f aca="false">IFERROR(INDEX(Overall!$F$2:$F$1000,MATCH("SS|93",Overall!$I$2:$I$1000,0)),"")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IF(B95="","",COUNTIFS(Overall!$C$2:$C$1000,"SS",Overall!$F$2:$F$1000,"&gt;"&amp;C95)+1)</f>
        <v/>
      </c>
      <c r="B95" s="11" t="str">
        <f aca="false">IFERROR(INDEX(Overall!$B$2:$B$1000,MATCH("SS|94",Overall!$I$2:$I$1000,0)),"")</f>
        <v/>
      </c>
      <c r="C95" s="19" t="str">
        <f aca="false">IFERROR(INDEX(Overall!$F$2:$F$1000,MATCH("SS|94",Overall!$I$2:$I$1000,0)),"")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IF(B96="","",COUNTIFS(Overall!$C$2:$C$1000,"SS",Overall!$F$2:$F$1000,"&gt;"&amp;C96)+1)</f>
        <v/>
      </c>
      <c r="B96" s="11" t="str">
        <f aca="false">IFERROR(INDEX(Overall!$B$2:$B$1000,MATCH("SS|95",Overall!$I$2:$I$1000,0)),"")</f>
        <v/>
      </c>
      <c r="C96" s="19" t="str">
        <f aca="false">IFERROR(INDEX(Overall!$F$2:$F$1000,MATCH("SS|95",Overall!$I$2:$I$1000,0)),"")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IF(B97="","",COUNTIFS(Overall!$C$2:$C$1000,"SS",Overall!$F$2:$F$1000,"&gt;"&amp;C97)+1)</f>
        <v/>
      </c>
      <c r="B97" s="11" t="str">
        <f aca="false">IFERROR(INDEX(Overall!$B$2:$B$1000,MATCH("SS|96",Overall!$I$2:$I$1000,0)),"")</f>
        <v/>
      </c>
      <c r="C97" s="19" t="str">
        <f aca="false">IFERROR(INDEX(Overall!$F$2:$F$1000,MATCH("SS|96",Overall!$I$2:$I$1000,0)),"")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IF(B98="","",COUNTIFS(Overall!$C$2:$C$1000,"SS",Overall!$F$2:$F$1000,"&gt;"&amp;C98)+1)</f>
        <v/>
      </c>
      <c r="B98" s="11" t="str">
        <f aca="false">IFERROR(INDEX(Overall!$B$2:$B$1000,MATCH("SS|97",Overall!$I$2:$I$1000,0)),"")</f>
        <v/>
      </c>
      <c r="C98" s="19" t="str">
        <f aca="false">IFERROR(INDEX(Overall!$F$2:$F$1000,MATCH("SS|97",Overall!$I$2:$I$1000,0)),"")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IF(B99="","",COUNTIFS(Overall!$C$2:$C$1000,"SS",Overall!$F$2:$F$1000,"&gt;"&amp;C99)+1)</f>
        <v/>
      </c>
      <c r="B99" s="11" t="str">
        <f aca="false">IFERROR(INDEX(Overall!$B$2:$B$1000,MATCH("SS|98",Overall!$I$2:$I$1000,0)),"")</f>
        <v/>
      </c>
      <c r="C99" s="19" t="str">
        <f aca="false">IFERROR(INDEX(Overall!$F$2:$F$1000,MATCH("SS|98",Overall!$I$2:$I$1000,0)),"")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IF(B100="","",COUNTIFS(Overall!$C$2:$C$1000,"SS",Overall!$F$2:$F$1000,"&gt;"&amp;C100)+1)</f>
        <v/>
      </c>
      <c r="B100" s="11" t="str">
        <f aca="false">IFERROR(INDEX(Overall!$B$2:$B$1000,MATCH("SS|99",Overall!$I$2:$I$1000,0)),"")</f>
        <v/>
      </c>
      <c r="C100" s="19" t="str">
        <f aca="false">IFERROR(INDEX(Overall!$F$2:$F$1000,MATCH("SS|99",Overall!$I$2:$I$1000,0)),"")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IF(B101="","",COUNTIFS(Overall!$C$2:$C$1000,"SS",Overall!$F$2:$F$1000,"&gt;"&amp;C101)+1)</f>
        <v/>
      </c>
      <c r="B101" s="11" t="str">
        <f aca="false">IFERROR(INDEX(Overall!$B$2:$B$1000,MATCH("SS|100",Overall!$I$2:$I$1000,0)),"")</f>
        <v/>
      </c>
      <c r="C101" s="19" t="str">
        <f aca="false">IFERROR(INDEX(Overall!$F$2:$F$1000,MATCH("SS|100",Overall!$I$2:$I$1000,0)),"")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IF(B102="","",COUNTIFS(Overall!$C$2:$C$1000,"SS",Overall!$F$2:$F$1000,"&gt;"&amp;C102)+1)</f>
        <v/>
      </c>
      <c r="B102" s="11" t="str">
        <f aca="false">IFERROR(INDEX(Overall!$B$2:$B$1000,MATCH("SS|101",Overall!$I$2:$I$1000,0)),"")</f>
        <v/>
      </c>
      <c r="C102" s="19" t="str">
        <f aca="false">IFERROR(INDEX(Overall!$F$2:$F$1000,MATCH("SS|101",Overall!$I$2:$I$1000,0)),"")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IF(B103="","",COUNTIFS(Overall!$C$2:$C$1000,"SS",Overall!$F$2:$F$1000,"&gt;"&amp;C103)+1)</f>
        <v/>
      </c>
      <c r="B103" s="11" t="str">
        <f aca="false">IFERROR(INDEX(Overall!$B$2:$B$1000,MATCH("SS|102",Overall!$I$2:$I$1000,0)),"")</f>
        <v/>
      </c>
      <c r="C103" s="19" t="str">
        <f aca="false">IFERROR(INDEX(Overall!$F$2:$F$1000,MATCH("SS|102",Overall!$I$2:$I$1000,0)),"")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IF(B104="","",COUNTIFS(Overall!$C$2:$C$1000,"SS",Overall!$F$2:$F$1000,"&gt;"&amp;C104)+1)</f>
        <v/>
      </c>
      <c r="B104" s="11" t="str">
        <f aca="false">IFERROR(INDEX(Overall!$B$2:$B$1000,MATCH("SS|103",Overall!$I$2:$I$1000,0)),"")</f>
        <v/>
      </c>
      <c r="C104" s="19" t="str">
        <f aca="false">IFERROR(INDEX(Overall!$F$2:$F$1000,MATCH("SS|103",Overall!$I$2:$I$1000,0)),"")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IF(B105="","",COUNTIFS(Overall!$C$2:$C$1000,"SS",Overall!$F$2:$F$1000,"&gt;"&amp;C105)+1)</f>
        <v/>
      </c>
      <c r="B105" s="11" t="str">
        <f aca="false">IFERROR(INDEX(Overall!$B$2:$B$1000,MATCH("SS|104",Overall!$I$2:$I$1000,0)),"")</f>
        <v/>
      </c>
      <c r="C105" s="19" t="str">
        <f aca="false">IFERROR(INDEX(Overall!$F$2:$F$1000,MATCH("SS|104",Overall!$I$2:$I$1000,0)),"")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IF(B106="","",COUNTIFS(Overall!$C$2:$C$1000,"SS",Overall!$F$2:$F$1000,"&gt;"&amp;C106)+1)</f>
        <v/>
      </c>
      <c r="B106" s="11" t="str">
        <f aca="false">IFERROR(INDEX(Overall!$B$2:$B$1000,MATCH("SS|105",Overall!$I$2:$I$1000,0)),"")</f>
        <v/>
      </c>
      <c r="C106" s="19" t="str">
        <f aca="false">IFERROR(INDEX(Overall!$F$2:$F$1000,MATCH("SS|105",Overall!$I$2:$I$1000,0)),"")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IF(B107="","",COUNTIFS(Overall!$C$2:$C$1000,"SS",Overall!$F$2:$F$1000,"&gt;"&amp;C107)+1)</f>
        <v/>
      </c>
      <c r="B107" s="11" t="str">
        <f aca="false">IFERROR(INDEX(Overall!$B$2:$B$1000,MATCH("SS|106",Overall!$I$2:$I$1000,0)),"")</f>
        <v/>
      </c>
      <c r="C107" s="19" t="str">
        <f aca="false">IFERROR(INDEX(Overall!$F$2:$F$1000,MATCH("SS|106",Overall!$I$2:$I$1000,0)),"")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IF(B108="","",COUNTIFS(Overall!$C$2:$C$1000,"SS",Overall!$F$2:$F$1000,"&gt;"&amp;C108)+1)</f>
        <v/>
      </c>
      <c r="B108" s="11" t="str">
        <f aca="false">IFERROR(INDEX(Overall!$B$2:$B$1000,MATCH("SS|107",Overall!$I$2:$I$1000,0)),"")</f>
        <v/>
      </c>
      <c r="C108" s="19" t="str">
        <f aca="false">IFERROR(INDEX(Overall!$F$2:$F$1000,MATCH("SS|107",Overall!$I$2:$I$1000,0)),"")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IF(B109="","",COUNTIFS(Overall!$C$2:$C$1000,"SS",Overall!$F$2:$F$1000,"&gt;"&amp;C109)+1)</f>
        <v/>
      </c>
      <c r="B109" s="11" t="str">
        <f aca="false">IFERROR(INDEX(Overall!$B$2:$B$1000,MATCH("SS|108",Overall!$I$2:$I$1000,0)),"")</f>
        <v/>
      </c>
      <c r="C109" s="19" t="str">
        <f aca="false">IFERROR(INDEX(Overall!$F$2:$F$1000,MATCH("SS|108",Overall!$I$2:$I$1000,0)),"")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IF(B110="","",COUNTIFS(Overall!$C$2:$C$1000,"SS",Overall!$F$2:$F$1000,"&gt;"&amp;C110)+1)</f>
        <v/>
      </c>
      <c r="B110" s="11" t="str">
        <f aca="false">IFERROR(INDEX(Overall!$B$2:$B$1000,MATCH("SS|109",Overall!$I$2:$I$1000,0)),"")</f>
        <v/>
      </c>
      <c r="C110" s="19" t="str">
        <f aca="false">IFERROR(INDEX(Overall!$F$2:$F$1000,MATCH("SS|109",Overall!$I$2:$I$1000,0)),"")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IF(B111="","",COUNTIFS(Overall!$C$2:$C$1000,"SS",Overall!$F$2:$F$1000,"&gt;"&amp;C111)+1)</f>
        <v/>
      </c>
      <c r="B111" s="11" t="str">
        <f aca="false">IFERROR(INDEX(Overall!$B$2:$B$1000,MATCH("SS|110",Overall!$I$2:$I$1000,0)),"")</f>
        <v/>
      </c>
      <c r="C111" s="19" t="str">
        <f aca="false">IFERROR(INDEX(Overall!$F$2:$F$1000,MATCH("SS|110",Overall!$I$2:$I$1000,0)),"")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IF(B112="","",COUNTIFS(Overall!$C$2:$C$1000,"SS",Overall!$F$2:$F$1000,"&gt;"&amp;C112)+1)</f>
        <v/>
      </c>
      <c r="B112" s="11" t="str">
        <f aca="false">IFERROR(INDEX(Overall!$B$2:$B$1000,MATCH("SS|111",Overall!$I$2:$I$1000,0)),"")</f>
        <v/>
      </c>
      <c r="C112" s="19" t="str">
        <f aca="false">IFERROR(INDEX(Overall!$F$2:$F$1000,MATCH("SS|111",Overall!$I$2:$I$1000,0)),"")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IF(B113="","",COUNTIFS(Overall!$C$2:$C$1000,"SS",Overall!$F$2:$F$1000,"&gt;"&amp;C113)+1)</f>
        <v/>
      </c>
      <c r="B113" s="11" t="str">
        <f aca="false">IFERROR(INDEX(Overall!$B$2:$B$1000,MATCH("SS|112",Overall!$I$2:$I$1000,0)),"")</f>
        <v/>
      </c>
      <c r="C113" s="19" t="str">
        <f aca="false">IFERROR(INDEX(Overall!$F$2:$F$1000,MATCH("SS|112",Overall!$I$2:$I$1000,0)),"")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IF(B114="","",COUNTIFS(Overall!$C$2:$C$1000,"SS",Overall!$F$2:$F$1000,"&gt;"&amp;C114)+1)</f>
        <v/>
      </c>
      <c r="B114" s="11" t="str">
        <f aca="false">IFERROR(INDEX(Overall!$B$2:$B$1000,MATCH("SS|113",Overall!$I$2:$I$1000,0)),"")</f>
        <v/>
      </c>
      <c r="C114" s="19" t="str">
        <f aca="false">IFERROR(INDEX(Overall!$F$2:$F$1000,MATCH("SS|113",Overall!$I$2:$I$1000,0)),"")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IF(B115="","",COUNTIFS(Overall!$C$2:$C$1000,"SS",Overall!$F$2:$F$1000,"&gt;"&amp;C115)+1)</f>
        <v/>
      </c>
      <c r="B115" s="11" t="str">
        <f aca="false">IFERROR(INDEX(Overall!$B$2:$B$1000,MATCH("SS|114",Overall!$I$2:$I$1000,0)),"")</f>
        <v/>
      </c>
      <c r="C115" s="19" t="str">
        <f aca="false">IFERROR(INDEX(Overall!$F$2:$F$1000,MATCH("SS|114",Overall!$I$2:$I$1000,0)),"")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IF(B116="","",COUNTIFS(Overall!$C$2:$C$1000,"SS",Overall!$F$2:$F$1000,"&gt;"&amp;C116)+1)</f>
        <v/>
      </c>
      <c r="B116" s="11" t="str">
        <f aca="false">IFERROR(INDEX(Overall!$B$2:$B$1000,MATCH("SS|115",Overall!$I$2:$I$1000,0)),"")</f>
        <v/>
      </c>
      <c r="C116" s="19" t="str">
        <f aca="false">IFERROR(INDEX(Overall!$F$2:$F$1000,MATCH("SS|115",Overall!$I$2:$I$1000,0)),"")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IF(B117="","",COUNTIFS(Overall!$C$2:$C$1000,"SS",Overall!$F$2:$F$1000,"&gt;"&amp;C117)+1)</f>
        <v/>
      </c>
      <c r="B117" s="11" t="str">
        <f aca="false">IFERROR(INDEX(Overall!$B$2:$B$1000,MATCH("SS|116",Overall!$I$2:$I$1000,0)),"")</f>
        <v/>
      </c>
      <c r="C117" s="19" t="str">
        <f aca="false">IFERROR(INDEX(Overall!$F$2:$F$1000,MATCH("SS|116",Overall!$I$2:$I$1000,0)),"")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IF(B118="","",COUNTIFS(Overall!$C$2:$C$1000,"SS",Overall!$F$2:$F$1000,"&gt;"&amp;C118)+1)</f>
        <v/>
      </c>
      <c r="B118" s="11" t="str">
        <f aca="false">IFERROR(INDEX(Overall!$B$2:$B$1000,MATCH("SS|117",Overall!$I$2:$I$1000,0)),"")</f>
        <v/>
      </c>
      <c r="C118" s="19" t="str">
        <f aca="false">IFERROR(INDEX(Overall!$F$2:$F$1000,MATCH("SS|117",Overall!$I$2:$I$1000,0)),"")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IF(B119="","",COUNTIFS(Overall!$C$2:$C$1000,"SS",Overall!$F$2:$F$1000,"&gt;"&amp;C119)+1)</f>
        <v/>
      </c>
      <c r="B119" s="11" t="str">
        <f aca="false">IFERROR(INDEX(Overall!$B$2:$B$1000,MATCH("SS|118",Overall!$I$2:$I$1000,0)),"")</f>
        <v/>
      </c>
      <c r="C119" s="19" t="str">
        <f aca="false">IFERROR(INDEX(Overall!$F$2:$F$1000,MATCH("SS|118",Overall!$I$2:$I$1000,0)),"")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IF(B120="","",COUNTIFS(Overall!$C$2:$C$1000,"SS",Overall!$F$2:$F$1000,"&gt;"&amp;C120)+1)</f>
        <v/>
      </c>
      <c r="B120" s="11" t="str">
        <f aca="false">IFERROR(INDEX(Overall!$B$2:$B$1000,MATCH("SS|119",Overall!$I$2:$I$1000,0)),"")</f>
        <v/>
      </c>
      <c r="C120" s="19" t="str">
        <f aca="false">IFERROR(INDEX(Overall!$F$2:$F$1000,MATCH("SS|119",Overall!$I$2:$I$1000,0)),"")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IF(B121="","",COUNTIFS(Overall!$C$2:$C$1000,"SS",Overall!$F$2:$F$1000,"&gt;"&amp;C121)+1)</f>
        <v/>
      </c>
      <c r="B121" s="11" t="str">
        <f aca="false">IFERROR(INDEX(Overall!$B$2:$B$1000,MATCH("SS|120",Overall!$I$2:$I$1000,0)),"")</f>
        <v/>
      </c>
      <c r="C121" s="19" t="str">
        <f aca="false">IFERROR(INDEX(Overall!$F$2:$F$1000,MATCH("SS|120",Overall!$I$2:$I$1000,0)),"")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IF(B122="","",COUNTIFS(Overall!$C$2:$C$1000,"SS",Overall!$F$2:$F$1000,"&gt;"&amp;C122)+1)</f>
        <v/>
      </c>
      <c r="B122" s="11" t="str">
        <f aca="false">IFERROR(INDEX(Overall!$B$2:$B$1000,MATCH("SS|121",Overall!$I$2:$I$1000,0)),"")</f>
        <v/>
      </c>
      <c r="C122" s="19" t="str">
        <f aca="false">IFERROR(INDEX(Overall!$F$2:$F$1000,MATCH("SS|121",Overall!$I$2:$I$1000,0)),"")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IF(B123="","",COUNTIFS(Overall!$C$2:$C$1000,"SS",Overall!$F$2:$F$1000,"&gt;"&amp;C123)+1)</f>
        <v/>
      </c>
      <c r="B123" s="11" t="str">
        <f aca="false">IFERROR(INDEX(Overall!$B$2:$B$1000,MATCH("SS|122",Overall!$I$2:$I$1000,0)),"")</f>
        <v/>
      </c>
      <c r="C123" s="19" t="str">
        <f aca="false">IFERROR(INDEX(Overall!$F$2:$F$1000,MATCH("SS|122",Overall!$I$2:$I$1000,0)),"")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IF(B124="","",COUNTIFS(Overall!$C$2:$C$1000,"SS",Overall!$F$2:$F$1000,"&gt;"&amp;C124)+1)</f>
        <v/>
      </c>
      <c r="B124" s="11" t="str">
        <f aca="false">IFERROR(INDEX(Overall!$B$2:$B$1000,MATCH("SS|123",Overall!$I$2:$I$1000,0)),"")</f>
        <v/>
      </c>
      <c r="C124" s="19" t="str">
        <f aca="false">IFERROR(INDEX(Overall!$F$2:$F$1000,MATCH("SS|123",Overall!$I$2:$I$1000,0)),"")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IF(B125="","",COUNTIFS(Overall!$C$2:$C$1000,"SS",Overall!$F$2:$F$1000,"&gt;"&amp;C125)+1)</f>
        <v/>
      </c>
      <c r="B125" s="11" t="str">
        <f aca="false">IFERROR(INDEX(Overall!$B$2:$B$1000,MATCH("SS|124",Overall!$I$2:$I$1000,0)),"")</f>
        <v/>
      </c>
      <c r="C125" s="19" t="str">
        <f aca="false">IFERROR(INDEX(Overall!$F$2:$F$1000,MATCH("SS|124",Overall!$I$2:$I$1000,0)),"")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IF(B126="","",COUNTIFS(Overall!$C$2:$C$1000,"SS",Overall!$F$2:$F$1000,"&gt;"&amp;C126)+1)</f>
        <v/>
      </c>
      <c r="B126" s="11" t="str">
        <f aca="false">IFERROR(INDEX(Overall!$B$2:$B$1000,MATCH("SS|125",Overall!$I$2:$I$1000,0)),"")</f>
        <v/>
      </c>
      <c r="C126" s="19" t="str">
        <f aca="false">IFERROR(INDEX(Overall!$F$2:$F$1000,MATCH("SS|125",Overall!$I$2:$I$1000,0)),"")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IF(B127="","",COUNTIFS(Overall!$C$2:$C$1000,"SS",Overall!$F$2:$F$1000,"&gt;"&amp;C127)+1)</f>
        <v/>
      </c>
      <c r="B127" s="11" t="str">
        <f aca="false">IFERROR(INDEX(Overall!$B$2:$B$1000,MATCH("SS|126",Overall!$I$2:$I$1000,0)),"")</f>
        <v/>
      </c>
      <c r="C127" s="19" t="str">
        <f aca="false">IFERROR(INDEX(Overall!$F$2:$F$1000,MATCH("SS|126",Overall!$I$2:$I$1000,0)),"")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IF(B128="","",COUNTIFS(Overall!$C$2:$C$1000,"SS",Overall!$F$2:$F$1000,"&gt;"&amp;C128)+1)</f>
        <v/>
      </c>
      <c r="B128" s="11" t="str">
        <f aca="false">IFERROR(INDEX(Overall!$B$2:$B$1000,MATCH("SS|127",Overall!$I$2:$I$1000,0)),"")</f>
        <v/>
      </c>
      <c r="C128" s="19" t="str">
        <f aca="false">IFERROR(INDEX(Overall!$F$2:$F$1000,MATCH("SS|127",Overall!$I$2:$I$1000,0)),"")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IF(B129="","",COUNTIFS(Overall!$C$2:$C$1000,"SS",Overall!$F$2:$F$1000,"&gt;"&amp;C129)+1)</f>
        <v/>
      </c>
      <c r="B129" s="11" t="str">
        <f aca="false">IFERROR(INDEX(Overall!$B$2:$B$1000,MATCH("SS|128",Overall!$I$2:$I$1000,0)),"")</f>
        <v/>
      </c>
      <c r="C129" s="19" t="str">
        <f aca="false">IFERROR(INDEX(Overall!$F$2:$F$1000,MATCH("SS|128",Overall!$I$2:$I$1000,0)),"")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IF(B130="","",COUNTIFS(Overall!$C$2:$C$1000,"SS",Overall!$F$2:$F$1000,"&gt;"&amp;C130)+1)</f>
        <v/>
      </c>
      <c r="B130" s="11" t="str">
        <f aca="false">IFERROR(INDEX(Overall!$B$2:$B$1000,MATCH("SS|129",Overall!$I$2:$I$1000,0)),"")</f>
        <v/>
      </c>
      <c r="C130" s="19" t="str">
        <f aca="false">IFERROR(INDEX(Overall!$F$2:$F$1000,MATCH("SS|129",Overall!$I$2:$I$1000,0)),"")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IF(B131="","",COUNTIFS(Overall!$C$2:$C$1000,"SS",Overall!$F$2:$F$1000,"&gt;"&amp;C131)+1)</f>
        <v/>
      </c>
      <c r="B131" s="11" t="str">
        <f aca="false">IFERROR(INDEX(Overall!$B$2:$B$1000,MATCH("SS|130",Overall!$I$2:$I$1000,0)),"")</f>
        <v/>
      </c>
      <c r="C131" s="19" t="str">
        <f aca="false">IFERROR(INDEX(Overall!$F$2:$F$1000,MATCH("SS|130",Overall!$I$2:$I$1000,0)),"")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IF(B132="","",COUNTIFS(Overall!$C$2:$C$1000,"SS",Overall!$F$2:$F$1000,"&gt;"&amp;C132)+1)</f>
        <v/>
      </c>
      <c r="B132" s="11" t="str">
        <f aca="false">IFERROR(INDEX(Overall!$B$2:$B$1000,MATCH("SS|131",Overall!$I$2:$I$1000,0)),"")</f>
        <v/>
      </c>
      <c r="C132" s="19" t="str">
        <f aca="false">IFERROR(INDEX(Overall!$F$2:$F$1000,MATCH("SS|131",Overall!$I$2:$I$1000,0)),"")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IF(B133="","",COUNTIFS(Overall!$C$2:$C$1000,"SS",Overall!$F$2:$F$1000,"&gt;"&amp;C133)+1)</f>
        <v/>
      </c>
      <c r="B133" s="11" t="str">
        <f aca="false">IFERROR(INDEX(Overall!$B$2:$B$1000,MATCH("SS|132",Overall!$I$2:$I$1000,0)),"")</f>
        <v/>
      </c>
      <c r="C133" s="19" t="str">
        <f aca="false">IFERROR(INDEX(Overall!$F$2:$F$1000,MATCH("SS|132",Overall!$I$2:$I$1000,0)),"")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IF(B134="","",COUNTIFS(Overall!$C$2:$C$1000,"SS",Overall!$F$2:$F$1000,"&gt;"&amp;C134)+1)</f>
        <v/>
      </c>
      <c r="B134" s="11" t="str">
        <f aca="false">IFERROR(INDEX(Overall!$B$2:$B$1000,MATCH("SS|133",Overall!$I$2:$I$1000,0)),"")</f>
        <v/>
      </c>
      <c r="C134" s="19" t="str">
        <f aca="false">IFERROR(INDEX(Overall!$F$2:$F$1000,MATCH("SS|133",Overall!$I$2:$I$1000,0)),"")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IF(B135="","",COUNTIFS(Overall!$C$2:$C$1000,"SS",Overall!$F$2:$F$1000,"&gt;"&amp;C135)+1)</f>
        <v/>
      </c>
      <c r="B135" s="11" t="str">
        <f aca="false">IFERROR(INDEX(Overall!$B$2:$B$1000,MATCH("SS|134",Overall!$I$2:$I$1000,0)),"")</f>
        <v/>
      </c>
      <c r="C135" s="19" t="str">
        <f aca="false">IFERROR(INDEX(Overall!$F$2:$F$1000,MATCH("SS|134",Overall!$I$2:$I$1000,0)),"")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IF(B136="","",COUNTIFS(Overall!$C$2:$C$1000,"SS",Overall!$F$2:$F$1000,"&gt;"&amp;C136)+1)</f>
        <v/>
      </c>
      <c r="B136" s="11" t="str">
        <f aca="false">IFERROR(INDEX(Overall!$B$2:$B$1000,MATCH("SS|135",Overall!$I$2:$I$1000,0)),"")</f>
        <v/>
      </c>
      <c r="C136" s="19" t="str">
        <f aca="false">IFERROR(INDEX(Overall!$F$2:$F$1000,MATCH("SS|135",Overall!$I$2:$I$1000,0)),"")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IF(B137="","",COUNTIFS(Overall!$C$2:$C$1000,"SS",Overall!$F$2:$F$1000,"&gt;"&amp;C137)+1)</f>
        <v/>
      </c>
      <c r="B137" s="11" t="str">
        <f aca="false">IFERROR(INDEX(Overall!$B$2:$B$1000,MATCH("SS|136",Overall!$I$2:$I$1000,0)),"")</f>
        <v/>
      </c>
      <c r="C137" s="19" t="str">
        <f aca="false">IFERROR(INDEX(Overall!$F$2:$F$1000,MATCH("SS|136",Overall!$I$2:$I$1000,0)),"")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IF(B138="","",COUNTIFS(Overall!$C$2:$C$1000,"SS",Overall!$F$2:$F$1000,"&gt;"&amp;C138)+1)</f>
        <v/>
      </c>
      <c r="B138" s="11" t="str">
        <f aca="false">IFERROR(INDEX(Overall!$B$2:$B$1000,MATCH("SS|137",Overall!$I$2:$I$1000,0)),"")</f>
        <v/>
      </c>
      <c r="C138" s="19" t="str">
        <f aca="false">IFERROR(INDEX(Overall!$F$2:$F$1000,MATCH("SS|137",Overall!$I$2:$I$1000,0)),"")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IF(B139="","",COUNTIFS(Overall!$C$2:$C$1000,"SS",Overall!$F$2:$F$1000,"&gt;"&amp;C139)+1)</f>
        <v/>
      </c>
      <c r="B139" s="11" t="str">
        <f aca="false">IFERROR(INDEX(Overall!$B$2:$B$1000,MATCH("SS|138",Overall!$I$2:$I$1000,0)),"")</f>
        <v/>
      </c>
      <c r="C139" s="19" t="str">
        <f aca="false">IFERROR(INDEX(Overall!$F$2:$F$1000,MATCH("SS|138",Overall!$I$2:$I$1000,0)),"")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IF(B140="","",COUNTIFS(Overall!$C$2:$C$1000,"SS",Overall!$F$2:$F$1000,"&gt;"&amp;C140)+1)</f>
        <v/>
      </c>
      <c r="B140" s="11" t="str">
        <f aca="false">IFERROR(INDEX(Overall!$B$2:$B$1000,MATCH("SS|139",Overall!$I$2:$I$1000,0)),"")</f>
        <v/>
      </c>
      <c r="C140" s="19" t="str">
        <f aca="false">IFERROR(INDEX(Overall!$F$2:$F$1000,MATCH("SS|139",Overall!$I$2:$I$1000,0)),"")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IF(B141="","",COUNTIFS(Overall!$C$2:$C$1000,"SS",Overall!$F$2:$F$1000,"&gt;"&amp;C141)+1)</f>
        <v/>
      </c>
      <c r="B141" s="11" t="str">
        <f aca="false">IFERROR(INDEX(Overall!$B$2:$B$1000,MATCH("SS|140",Overall!$I$2:$I$1000,0)),"")</f>
        <v/>
      </c>
      <c r="C141" s="19" t="str">
        <f aca="false">IFERROR(INDEX(Overall!$F$2:$F$1000,MATCH("SS|140",Overall!$I$2:$I$1000,0)),"")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IF(B142="","",COUNTIFS(Overall!$C$2:$C$1000,"SS",Overall!$F$2:$F$1000,"&gt;"&amp;C142)+1)</f>
        <v/>
      </c>
      <c r="B142" s="11" t="str">
        <f aca="false">IFERROR(INDEX(Overall!$B$2:$B$1000,MATCH("SS|141",Overall!$I$2:$I$1000,0)),"")</f>
        <v/>
      </c>
      <c r="C142" s="19" t="str">
        <f aca="false">IFERROR(INDEX(Overall!$F$2:$F$1000,MATCH("SS|141",Overall!$I$2:$I$1000,0)),"")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IF(B143="","",COUNTIFS(Overall!$C$2:$C$1000,"SS",Overall!$F$2:$F$1000,"&gt;"&amp;C143)+1)</f>
        <v/>
      </c>
      <c r="B143" s="11" t="str">
        <f aca="false">IFERROR(INDEX(Overall!$B$2:$B$1000,MATCH("SS|142",Overall!$I$2:$I$1000,0)),"")</f>
        <v/>
      </c>
      <c r="C143" s="19" t="str">
        <f aca="false">IFERROR(INDEX(Overall!$F$2:$F$1000,MATCH("SS|142",Overall!$I$2:$I$1000,0)),"")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IF(B144="","",COUNTIFS(Overall!$C$2:$C$1000,"SS",Overall!$F$2:$F$1000,"&gt;"&amp;C144)+1)</f>
        <v/>
      </c>
      <c r="B144" s="11" t="str">
        <f aca="false">IFERROR(INDEX(Overall!$B$2:$B$1000,MATCH("SS|143",Overall!$I$2:$I$1000,0)),"")</f>
        <v/>
      </c>
      <c r="C144" s="19" t="str">
        <f aca="false">IFERROR(INDEX(Overall!$F$2:$F$1000,MATCH("SS|143",Overall!$I$2:$I$1000,0)),"")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IF(B145="","",COUNTIFS(Overall!$C$2:$C$1000,"SS",Overall!$F$2:$F$1000,"&gt;"&amp;C145)+1)</f>
        <v/>
      </c>
      <c r="B145" s="11" t="str">
        <f aca="false">IFERROR(INDEX(Overall!$B$2:$B$1000,MATCH("SS|144",Overall!$I$2:$I$1000,0)),"")</f>
        <v/>
      </c>
      <c r="C145" s="19" t="str">
        <f aca="false">IFERROR(INDEX(Overall!$F$2:$F$1000,MATCH("SS|144",Overall!$I$2:$I$1000,0)),"")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IF(B146="","",COUNTIFS(Overall!$C$2:$C$1000,"SS",Overall!$F$2:$F$1000,"&gt;"&amp;C146)+1)</f>
        <v/>
      </c>
      <c r="B146" s="11" t="str">
        <f aca="false">IFERROR(INDEX(Overall!$B$2:$B$1000,MATCH("SS|145",Overall!$I$2:$I$1000,0)),"")</f>
        <v/>
      </c>
      <c r="C146" s="19" t="str">
        <f aca="false">IFERROR(INDEX(Overall!$F$2:$F$1000,MATCH("SS|145",Overall!$I$2:$I$1000,0)),"")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IF(B147="","",COUNTIFS(Overall!$C$2:$C$1000,"SS",Overall!$F$2:$F$1000,"&gt;"&amp;C147)+1)</f>
        <v/>
      </c>
      <c r="B147" s="11" t="str">
        <f aca="false">IFERROR(INDEX(Overall!$B$2:$B$1000,MATCH("SS|146",Overall!$I$2:$I$1000,0)),"")</f>
        <v/>
      </c>
      <c r="C147" s="19" t="str">
        <f aca="false">IFERROR(INDEX(Overall!$F$2:$F$1000,MATCH("SS|146",Overall!$I$2:$I$1000,0)),"")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IF(B148="","",COUNTIFS(Overall!$C$2:$C$1000,"SS",Overall!$F$2:$F$1000,"&gt;"&amp;C148)+1)</f>
        <v/>
      </c>
      <c r="B148" s="11" t="str">
        <f aca="false">IFERROR(INDEX(Overall!$B$2:$B$1000,MATCH("SS|147",Overall!$I$2:$I$1000,0)),"")</f>
        <v/>
      </c>
      <c r="C148" s="19" t="str">
        <f aca="false">IFERROR(INDEX(Overall!$F$2:$F$1000,MATCH("SS|147",Overall!$I$2:$I$1000,0)),"")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IF(B149="","",COUNTIFS(Overall!$C$2:$C$1000,"SS",Overall!$F$2:$F$1000,"&gt;"&amp;C149)+1)</f>
        <v/>
      </c>
      <c r="B149" s="11" t="str">
        <f aca="false">IFERROR(INDEX(Overall!$B$2:$B$1000,MATCH("SS|148",Overall!$I$2:$I$1000,0)),"")</f>
        <v/>
      </c>
      <c r="C149" s="19" t="str">
        <f aca="false">IFERROR(INDEX(Overall!$F$2:$F$1000,MATCH("SS|148",Overall!$I$2:$I$1000,0)),"")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IF(B150="","",COUNTIFS(Overall!$C$2:$C$1000,"SS",Overall!$F$2:$F$1000,"&gt;"&amp;C150)+1)</f>
        <v/>
      </c>
      <c r="B150" s="11" t="str">
        <f aca="false">IFERROR(INDEX(Overall!$B$2:$B$1000,MATCH("SS|149",Overall!$I$2:$I$1000,0)),"")</f>
        <v/>
      </c>
      <c r="C150" s="19" t="str">
        <f aca="false">IFERROR(INDEX(Overall!$F$2:$F$1000,MATCH("SS|149",Overall!$I$2:$I$1000,0)),"")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IF(B151="","",COUNTIFS(Overall!$C$2:$C$1000,"SS",Overall!$F$2:$F$1000,"&gt;"&amp;C151)+1)</f>
        <v/>
      </c>
      <c r="B151" s="11" t="str">
        <f aca="false">IFERROR(INDEX(Overall!$B$2:$B$1000,MATCH("SS|150",Overall!$I$2:$I$1000,0)),"")</f>
        <v/>
      </c>
      <c r="C151" s="19" t="str">
        <f aca="false">IFERROR(INDEX(Overall!$F$2:$F$1000,MATCH("SS|150",Overall!$I$2:$I$1000,0)),"")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D9D9"/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</v>
      </c>
    </row>
    <row r="2" customFormat="false" ht="15" hidden="false" customHeight="false" outlineLevel="0" collapsed="false">
      <c r="A2" s="22" t="n">
        <f aca="false">IF(B2="","",COUNTIFS(Overall!$C$2:$C$1000,"CF",Overall!$F$2:$F$1000,"&gt;"&amp;C2)+1)</f>
        <v>1</v>
      </c>
      <c r="B2" s="11" t="str">
        <f aca="false">IFERROR(INDEX(Overall!$B$2:$B$1000,MATCH("CF|1",Overall!$I$2:$I$1000,0)),"")</f>
        <v>Jesus</v>
      </c>
      <c r="C2" s="19" t="n">
        <f aca="false">IFERROR(INDEX(Overall!$F$2:$F$1000,MATCH("CF|1",Overall!$I$2:$I$1000,0)),"")</f>
        <v>109</v>
      </c>
    </row>
    <row r="3" customFormat="false" ht="15" hidden="false" customHeight="false" outlineLevel="0" collapsed="false">
      <c r="A3" s="22" t="n">
        <f aca="false">IF(B3="","",COUNTIFS(Overall!$C$2:$C$1000,"CF",Overall!$F$2:$F$1000,"&gt;"&amp;C3)+1)</f>
        <v>2</v>
      </c>
      <c r="B3" s="11" t="str">
        <f aca="false">IFERROR(INDEX(Overall!$B$2:$B$1000,MATCH("CF|2",Overall!$I$2:$I$1000,0)),"")</f>
        <v>Goku</v>
      </c>
      <c r="C3" s="19" t="n">
        <f aca="false">IFERROR(INDEX(Overall!$F$2:$F$1000,MATCH("CF|2",Overall!$I$2:$I$1000,0)),"")</f>
        <v>108</v>
      </c>
    </row>
    <row r="4" customFormat="false" ht="15" hidden="false" customHeight="false" outlineLevel="0" collapsed="false">
      <c r="A4" s="22" t="n">
        <f aca="false">IF(B4="","",COUNTIFS(Overall!$C$2:$C$1000,"CF",Overall!$F$2:$F$1000,"&gt;"&amp;C4)+1)</f>
        <v>2</v>
      </c>
      <c r="B4" s="11" t="str">
        <f aca="false">IFERROR(INDEX(Overall!$B$2:$B$1000,MATCH("CF|3",Overall!$I$2:$I$1000,0)),"")</f>
        <v>Vegeta</v>
      </c>
      <c r="C4" s="19" t="n">
        <f aca="false">IFERROR(INDEX(Overall!$F$2:$F$1000,MATCH("CF|3",Overall!$I$2:$I$1000,0)),"")</f>
        <v>108</v>
      </c>
    </row>
    <row r="5" customFormat="false" ht="15" hidden="false" customHeight="false" outlineLevel="0" collapsed="false">
      <c r="A5" s="22" t="n">
        <f aca="false">IF(B5="","",COUNTIFS(Overall!$C$2:$C$1000,"CF",Overall!$F$2:$F$1000,"&gt;"&amp;C5)+1)</f>
        <v>4</v>
      </c>
      <c r="B5" s="11" t="str">
        <f aca="false">IFERROR(INDEX(Overall!$B$2:$B$1000,MATCH("CF|4",Overall!$I$2:$I$1000,0)),"")</f>
        <v>Meruem</v>
      </c>
      <c r="C5" s="19" t="n">
        <f aca="false">IFERROR(INDEX(Overall!$F$2:$F$1000,MATCH("CF|4",Overall!$I$2:$I$1000,0)),"")</f>
        <v>101</v>
      </c>
    </row>
    <row r="6" customFormat="false" ht="15" hidden="false" customHeight="false" outlineLevel="0" collapsed="false">
      <c r="A6" s="22" t="n">
        <f aca="false">IF(B6="","",COUNTIFS(Overall!$C$2:$C$1000,"CF",Overall!$F$2:$F$1000,"&gt;"&amp;C6)+1)</f>
        <v>5</v>
      </c>
      <c r="B6" s="11" t="str">
        <f aca="false">IFERROR(INDEX(Overall!$B$2:$B$1000,MATCH("CF|5",Overall!$I$2:$I$1000,0)),"")</f>
        <v>Omni man</v>
      </c>
      <c r="C6" s="19" t="n">
        <f aca="false">IFERROR(INDEX(Overall!$F$2:$F$1000,MATCH("CF|5",Overall!$I$2:$I$1000,0)),"")</f>
        <v>100</v>
      </c>
    </row>
    <row r="7" customFormat="false" ht="15" hidden="false" customHeight="false" outlineLevel="0" collapsed="false">
      <c r="A7" s="22" t="n">
        <f aca="false">IF(B7="","",COUNTIFS(Overall!$C$2:$C$1000,"CF",Overall!$F$2:$F$1000,"&gt;"&amp;C7)+1)</f>
        <v>5</v>
      </c>
      <c r="B7" s="11" t="str">
        <f aca="false">IFERROR(INDEX(Overall!$B$2:$B$1000,MATCH("CF|6",Overall!$I$2:$I$1000,0)),"")</f>
        <v>Superman</v>
      </c>
      <c r="C7" s="19" t="n">
        <f aca="false">IFERROR(INDEX(Overall!$F$2:$F$1000,MATCH("CF|6",Overall!$I$2:$I$1000,0)),"")</f>
        <v>100</v>
      </c>
    </row>
    <row r="8" customFormat="false" ht="15" hidden="false" customHeight="false" outlineLevel="0" collapsed="false">
      <c r="A8" s="22" t="n">
        <f aca="false">IF(B8="","",COUNTIFS(Overall!$C$2:$C$1000,"CF",Overall!$F$2:$F$1000,"&gt;"&amp;C8)+1)</f>
        <v>7</v>
      </c>
      <c r="B8" s="11" t="str">
        <f aca="false">IFERROR(INDEX(Overall!$B$2:$B$1000,MATCH("CF|7",Overall!$I$2:$I$1000,0)),"")</f>
        <v>Naruto</v>
      </c>
      <c r="C8" s="19" t="n">
        <f aca="false">IFERROR(INDEX(Overall!$F$2:$F$1000,MATCH("CF|7",Overall!$I$2:$I$1000,0)),"")</f>
        <v>99</v>
      </c>
    </row>
    <row r="9" customFormat="false" ht="15" hidden="false" customHeight="false" outlineLevel="0" collapsed="false">
      <c r="A9" s="22" t="n">
        <f aca="false">IF(B9="","",COUNTIFS(Overall!$C$2:$C$1000,"CF",Overall!$F$2:$F$1000,"&gt;"&amp;C9)+1)</f>
        <v>7</v>
      </c>
      <c r="B9" s="11" t="str">
        <f aca="false">IFERROR(INDEX(Overall!$B$2:$B$1000,MATCH("CF|8",Overall!$I$2:$I$1000,0)),"")</f>
        <v>Macaco monkey</v>
      </c>
      <c r="C9" s="19" t="n">
        <f aca="false">IFERROR(INDEX(Overall!$F$2:$F$1000,MATCH("CF|8",Overall!$I$2:$I$1000,0)),"")</f>
        <v>99</v>
      </c>
    </row>
    <row r="10" customFormat="false" ht="15" hidden="false" customHeight="false" outlineLevel="0" collapsed="false">
      <c r="A10" s="22" t="n">
        <f aca="false">IF(B10="","",COUNTIFS(Overall!$C$2:$C$1000,"CF",Overall!$F$2:$F$1000,"&gt;"&amp;C10)+1)</f>
        <v>7</v>
      </c>
      <c r="B10" s="11" t="str">
        <f aca="false">IFERROR(INDEX(Overall!$B$2:$B$1000,MATCH("CF|9",Overall!$I$2:$I$1000,0)),"")</f>
        <v>Andreas</v>
      </c>
      <c r="C10" s="19" t="n">
        <f aca="false">IFERROR(INDEX(Overall!$F$2:$F$1000,MATCH("CF|9",Overall!$I$2:$I$1000,0)),"")</f>
        <v>99</v>
      </c>
    </row>
    <row r="11" customFormat="false" ht="15" hidden="false" customHeight="false" outlineLevel="0" collapsed="false">
      <c r="A11" s="22" t="n">
        <f aca="false">IF(B11="","",COUNTIFS(Overall!$C$2:$C$1000,"CF",Overall!$F$2:$F$1000,"&gt;"&amp;C11)+1)</f>
        <v>10</v>
      </c>
      <c r="B11" s="11" t="str">
        <f aca="false">IFERROR(INDEX(Overall!$B$2:$B$1000,MATCH("CF|10",Overall!$I$2:$I$1000,0)),"")</f>
        <v>Luffy</v>
      </c>
      <c r="C11" s="19" t="n">
        <f aca="false">IFERROR(INDEX(Overall!$F$2:$F$1000,MATCH("CF|10",Overall!$I$2:$I$1000,0)),"")</f>
        <v>98</v>
      </c>
    </row>
    <row r="12" customFormat="false" ht="15" hidden="false" customHeight="false" outlineLevel="0" collapsed="false">
      <c r="A12" s="22" t="n">
        <f aca="false">IF(B12="","",COUNTIFS(Overall!$C$2:$C$1000,"CF",Overall!$F$2:$F$1000,"&gt;"&amp;C12)+1)</f>
        <v>11</v>
      </c>
      <c r="B12" s="11" t="str">
        <f aca="false">IFERROR(INDEX(Overall!$B$2:$B$1000,MATCH("CF|11",Overall!$I$2:$I$1000,0)),"")</f>
        <v>Omega shenron</v>
      </c>
      <c r="C12" s="19" t="n">
        <f aca="false">IFERROR(INDEX(Overall!$F$2:$F$1000,MATCH("CF|11",Overall!$I$2:$I$1000,0)),"")</f>
        <v>97</v>
      </c>
    </row>
    <row r="13" customFormat="false" ht="15" hidden="false" customHeight="false" outlineLevel="0" collapsed="false">
      <c r="A13" s="22" t="n">
        <f aca="false">IF(B13="","",COUNTIFS(Overall!$C$2:$C$1000,"CF",Overall!$F$2:$F$1000,"&gt;"&amp;C13)+1)</f>
        <v>11</v>
      </c>
      <c r="B13" s="11" t="str">
        <f aca="false">IFERROR(INDEX(Overall!$B$2:$B$1000,MATCH("CF|12",Overall!$I$2:$I$1000,0)),"")</f>
        <v>Michael Jordan</v>
      </c>
      <c r="C13" s="19" t="n">
        <f aca="false">IFERROR(INDEX(Overall!$F$2:$F$1000,MATCH("CF|12",Overall!$I$2:$I$1000,0)),"")</f>
        <v>97</v>
      </c>
    </row>
    <row r="14" customFormat="false" ht="15" hidden="false" customHeight="false" outlineLevel="0" collapsed="false">
      <c r="A14" s="22" t="n">
        <f aca="false">IF(B14="","",COUNTIFS(Overall!$C$2:$C$1000,"CF",Overall!$F$2:$F$1000,"&gt;"&amp;C14)+1)</f>
        <v>13</v>
      </c>
      <c r="B14" s="11" t="str">
        <f aca="false">IFERROR(INDEX(Overall!$B$2:$B$1000,MATCH("CF|13",Overall!$I$2:$I$1000,0)),"")</f>
        <v>All might</v>
      </c>
      <c r="C14" s="19" t="n">
        <f aca="false">IFERROR(INDEX(Overall!$F$2:$F$1000,MATCH("CF|13",Overall!$I$2:$I$1000,0)),"")</f>
        <v>96</v>
      </c>
    </row>
    <row r="15" customFormat="false" ht="15" hidden="false" customHeight="false" outlineLevel="0" collapsed="false">
      <c r="A15" s="22" t="n">
        <f aca="false">IF(B15="","",COUNTIFS(Overall!$C$2:$C$1000,"CF",Overall!$F$2:$F$1000,"&gt;"&amp;C15)+1)</f>
        <v>13</v>
      </c>
      <c r="B15" s="11" t="str">
        <f aca="false">IFERROR(INDEX(Overall!$B$2:$B$1000,MATCH("CF|14",Overall!$I$2:$I$1000,0)),"")</f>
        <v>Dio brando</v>
      </c>
      <c r="C15" s="19" t="n">
        <f aca="false">IFERROR(INDEX(Overall!$F$2:$F$1000,MATCH("CF|14",Overall!$I$2:$I$1000,0)),"")</f>
        <v>96</v>
      </c>
    </row>
    <row r="16" customFormat="false" ht="15" hidden="false" customHeight="false" outlineLevel="0" collapsed="false">
      <c r="A16" s="22" t="n">
        <f aca="false">IF(B16="","",COUNTIFS(Overall!$C$2:$C$1000,"CF",Overall!$F$2:$F$1000,"&gt;"&amp;C16)+1)</f>
        <v>13</v>
      </c>
      <c r="B16" s="11" t="str">
        <f aca="false">IFERROR(INDEX(Overall!$B$2:$B$1000,MATCH("CF|15",Overall!$I$2:$I$1000,0)),"")</f>
        <v>Beerus</v>
      </c>
      <c r="C16" s="19" t="n">
        <f aca="false">IFERROR(INDEX(Overall!$F$2:$F$1000,MATCH("CF|15",Overall!$I$2:$I$1000,0)),"")</f>
        <v>96</v>
      </c>
    </row>
    <row r="17" customFormat="false" ht="15" hidden="false" customHeight="false" outlineLevel="0" collapsed="false">
      <c r="A17" s="22" t="n">
        <f aca="false">IF(B17="","",COUNTIFS(Overall!$C$2:$C$1000,"CF",Overall!$F$2:$F$1000,"&gt;"&amp;C17)+1)</f>
        <v>16</v>
      </c>
      <c r="B17" s="11" t="str">
        <f aca="false">IFERROR(INDEX(Overall!$B$2:$B$1000,MATCH("CF|16",Overall!$I$2:$I$1000,0)),"")</f>
        <v>Homer Simpson</v>
      </c>
      <c r="C17" s="19" t="n">
        <f aca="false">IFERROR(INDEX(Overall!$F$2:$F$1000,MATCH("CF|16",Overall!$I$2:$I$1000,0)),"")</f>
        <v>95</v>
      </c>
    </row>
    <row r="18" customFormat="false" ht="15" hidden="false" customHeight="false" outlineLevel="0" collapsed="false">
      <c r="A18" s="22" t="n">
        <f aca="false">IF(B18="","",COUNTIFS(Overall!$C$2:$C$1000,"CF",Overall!$F$2:$F$1000,"&gt;"&amp;C18)+1)</f>
        <v>16</v>
      </c>
      <c r="B18" s="11" t="str">
        <f aca="false">IFERROR(INDEX(Overall!$B$2:$B$1000,MATCH("CF|17",Overall!$I$2:$I$1000,0)),"")</f>
        <v>Lebron</v>
      </c>
      <c r="C18" s="19" t="n">
        <f aca="false">IFERROR(INDEX(Overall!$F$2:$F$1000,MATCH("CF|17",Overall!$I$2:$I$1000,0)),"")</f>
        <v>95</v>
      </c>
    </row>
    <row r="19" customFormat="false" ht="15" hidden="false" customHeight="false" outlineLevel="0" collapsed="false">
      <c r="A19" s="22" t="n">
        <f aca="false">IF(B19="","",COUNTIFS(Overall!$C$2:$C$1000,"CF",Overall!$F$2:$F$1000,"&gt;"&amp;C19)+1)</f>
        <v>18</v>
      </c>
      <c r="B19" s="11" t="str">
        <f aca="false">IFERROR(INDEX(Overall!$B$2:$B$1000,MATCH("CF|18",Overall!$I$2:$I$1000,0)),"")</f>
        <v>Goku black</v>
      </c>
      <c r="C19" s="19" t="n">
        <f aca="false">IFERROR(INDEX(Overall!$F$2:$F$1000,MATCH("CF|18",Overall!$I$2:$I$1000,0)),"")</f>
        <v>94</v>
      </c>
    </row>
    <row r="20" customFormat="false" ht="15" hidden="false" customHeight="false" outlineLevel="0" collapsed="false">
      <c r="A20" s="22" t="n">
        <f aca="false">IF(B20="","",COUNTIFS(Overall!$C$2:$C$1000,"CF",Overall!$F$2:$F$1000,"&gt;"&amp;C20)+1)</f>
        <v>18</v>
      </c>
      <c r="B20" s="11" t="str">
        <f aca="false">IFERROR(INDEX(Overall!$B$2:$B$1000,MATCH("CF|19",Overall!$I$2:$I$1000,0)),"")</f>
        <v>Kara</v>
      </c>
      <c r="C20" s="19" t="n">
        <f aca="false">IFERROR(INDEX(Overall!$F$2:$F$1000,MATCH("CF|19",Overall!$I$2:$I$1000,0)),"")</f>
        <v>94</v>
      </c>
    </row>
    <row r="21" customFormat="false" ht="15" hidden="false" customHeight="false" outlineLevel="0" collapsed="false">
      <c r="A21" s="22" t="n">
        <f aca="false">IF(B21="","",COUNTIFS(Overall!$C$2:$C$1000,"CF",Overall!$F$2:$F$1000,"&gt;"&amp;C21)+1)</f>
        <v>20</v>
      </c>
      <c r="B21" s="11" t="str">
        <f aca="false">IFERROR(INDEX(Overall!$B$2:$B$1000,MATCH("CF|20",Overall!$I$2:$I$1000,0)),"")</f>
        <v>Hisoka Morow</v>
      </c>
      <c r="C21" s="19" t="n">
        <f aca="false">IFERROR(INDEX(Overall!$F$2:$F$1000,MATCH("CF|20",Overall!$I$2:$I$1000,0)),"")</f>
        <v>93</v>
      </c>
    </row>
    <row r="22" customFormat="false" ht="15" hidden="false" customHeight="false" outlineLevel="0" collapsed="false">
      <c r="A22" s="22" t="n">
        <f aca="false">IF(B22="","",COUNTIFS(Overall!$C$2:$C$1000,"CF",Overall!$F$2:$F$1000,"&gt;"&amp;C22)+1)</f>
        <v>21</v>
      </c>
      <c r="B22" s="11" t="str">
        <f aca="false">IFERROR(INDEX(Overall!$B$2:$B$1000,MATCH("CF|21",Overall!$I$2:$I$1000,0)),"")</f>
        <v>Jotaro</v>
      </c>
      <c r="C22" s="19" t="n">
        <f aca="false">IFERROR(INDEX(Overall!$F$2:$F$1000,MATCH("CF|21",Overall!$I$2:$I$1000,0)),"")</f>
        <v>92</v>
      </c>
    </row>
    <row r="23" customFormat="false" ht="15" hidden="false" customHeight="false" outlineLevel="0" collapsed="false">
      <c r="A23" s="22" t="n">
        <f aca="false">IF(B23="","",COUNTIFS(Overall!$C$2:$C$1000,"CF",Overall!$F$2:$F$1000,"&gt;"&amp;C23)+1)</f>
        <v>22</v>
      </c>
      <c r="B23" s="11" t="str">
        <f aca="false">IFERROR(INDEX(Overall!$B$2:$B$1000,MATCH("CF|22",Overall!$I$2:$I$1000,0)),"")</f>
        <v>Ryu</v>
      </c>
      <c r="C23" s="19" t="n">
        <f aca="false">IFERROR(INDEX(Overall!$F$2:$F$1000,MATCH("CF|22",Overall!$I$2:$I$1000,0)),"")</f>
        <v>91</v>
      </c>
    </row>
    <row r="24" customFormat="false" ht="15" hidden="false" customHeight="false" outlineLevel="0" collapsed="false">
      <c r="A24" s="22" t="n">
        <f aca="false">IF(B24="","",COUNTIFS(Overall!$C$2:$C$1000,"CF",Overall!$F$2:$F$1000,"&gt;"&amp;C24)+1)</f>
        <v>23</v>
      </c>
      <c r="B24" s="11" t="str">
        <f aca="false">IFERROR(INDEX(Overall!$B$2:$B$1000,MATCH("CF|23",Overall!$I$2:$I$1000,0)),"")</f>
        <v>Dario Moccia</v>
      </c>
      <c r="C24" s="19" t="n">
        <f aca="false">IFERROR(INDEX(Overall!$F$2:$F$1000,MATCH("CF|23",Overall!$I$2:$I$1000,0)),"")</f>
        <v>90</v>
      </c>
    </row>
    <row r="25" customFormat="false" ht="15" hidden="false" customHeight="false" outlineLevel="0" collapsed="false">
      <c r="A25" s="22" t="n">
        <f aca="false">IF(B25="","",COUNTIFS(Overall!$C$2:$C$1000,"CF",Overall!$F$2:$F$1000,"&gt;"&amp;C25)+1)</f>
        <v>23</v>
      </c>
      <c r="B25" s="11" t="str">
        <f aca="false">IFERROR(INDEX(Overall!$B$2:$B$1000,MATCH("CF|24",Overall!$I$2:$I$1000,0)),"")</f>
        <v>Ganondorf</v>
      </c>
      <c r="C25" s="19" t="n">
        <f aca="false">IFERROR(INDEX(Overall!$F$2:$F$1000,MATCH("CF|24",Overall!$I$2:$I$1000,0)),"")</f>
        <v>90</v>
      </c>
    </row>
    <row r="26" customFormat="false" ht="15" hidden="false" customHeight="false" outlineLevel="0" collapsed="false">
      <c r="A26" s="22" t="n">
        <f aca="false">IF(B26="","",COUNTIFS(Overall!$C$2:$C$1000,"CF",Overall!$F$2:$F$1000,"&gt;"&amp;C26)+1)</f>
        <v>23</v>
      </c>
      <c r="B26" s="11" t="str">
        <f aca="false">IFERROR(INDEX(Overall!$B$2:$B$1000,MATCH("CF|25",Overall!$I$2:$I$1000,0)),"")</f>
        <v>captain America</v>
      </c>
      <c r="C26" s="19" t="n">
        <f aca="false">IFERROR(INDEX(Overall!$F$2:$F$1000,MATCH("CF|25",Overall!$I$2:$I$1000,0)),"")</f>
        <v>90</v>
      </c>
    </row>
    <row r="27" customFormat="false" ht="15" hidden="false" customHeight="false" outlineLevel="0" collapsed="false">
      <c r="A27" s="22" t="n">
        <f aca="false">IF(B27="","",COUNTIFS(Overall!$C$2:$C$1000,"CF",Overall!$F$2:$F$1000,"&gt;"&amp;C27)+1)</f>
        <v>26</v>
      </c>
      <c r="B27" s="11" t="str">
        <f aca="false">IFERROR(INDEX(Overall!$B$2:$B$1000,MATCH("CF|26",Overall!$I$2:$I$1000,0)),"")</f>
        <v>John cena</v>
      </c>
      <c r="C27" s="19" t="n">
        <f aca="false">IFERROR(INDEX(Overall!$F$2:$F$1000,MATCH("CF|26",Overall!$I$2:$I$1000,0)),"")</f>
        <v>89</v>
      </c>
    </row>
    <row r="28" customFormat="false" ht="15" hidden="false" customHeight="false" outlineLevel="0" collapsed="false">
      <c r="A28" s="22" t="n">
        <f aca="false">IF(B28="","",COUNTIFS(Overall!$C$2:$C$1000,"CF",Overall!$F$2:$F$1000,"&gt;"&amp;C28)+1)</f>
        <v>27</v>
      </c>
      <c r="B28" s="11" t="str">
        <f aca="false">IFERROR(INDEX(Overall!$B$2:$B$1000,MATCH("CF|27",Overall!$I$2:$I$1000,0)),"")</f>
        <v>Nico robin</v>
      </c>
      <c r="C28" s="19" t="n">
        <f aca="false">IFERROR(INDEX(Overall!$F$2:$F$1000,MATCH("CF|27",Overall!$I$2:$I$1000,0)),"")</f>
        <v>88</v>
      </c>
    </row>
    <row r="29" customFormat="false" ht="15" hidden="false" customHeight="false" outlineLevel="0" collapsed="false">
      <c r="A29" s="22" t="n">
        <f aca="false">IF(B29="","",COUNTIFS(Overall!$C$2:$C$1000,"CF",Overall!$F$2:$F$1000,"&gt;"&amp;C29)+1)</f>
        <v>27</v>
      </c>
      <c r="B29" s="11" t="str">
        <f aca="false">IFERROR(INDEX(Overall!$B$2:$B$1000,MATCH("CF|28",Overall!$I$2:$I$1000,0)),"")</f>
        <v>Kojiro hyuga</v>
      </c>
      <c r="C29" s="19" t="n">
        <f aca="false">IFERROR(INDEX(Overall!$F$2:$F$1000,MATCH("CF|28",Overall!$I$2:$I$1000,0)),"")</f>
        <v>88</v>
      </c>
    </row>
    <row r="30" customFormat="false" ht="15" hidden="false" customHeight="false" outlineLevel="0" collapsed="false">
      <c r="A30" s="22" t="n">
        <f aca="false">IF(B30="","",COUNTIFS(Overall!$C$2:$C$1000,"CF",Overall!$F$2:$F$1000,"&gt;"&amp;C30)+1)</f>
        <v>27</v>
      </c>
      <c r="B30" s="11" t="str">
        <f aca="false">IFERROR(INDEX(Overall!$B$2:$B$1000,MATCH("CF|29",Overall!$I$2:$I$1000,0)),"")</f>
        <v>Peter griffin</v>
      </c>
      <c r="C30" s="19" t="n">
        <f aca="false">IFERROR(INDEX(Overall!$F$2:$F$1000,MATCH("CF|29",Overall!$I$2:$I$1000,0)),"")</f>
        <v>88</v>
      </c>
    </row>
    <row r="31" customFormat="false" ht="15" hidden="false" customHeight="false" outlineLevel="0" collapsed="false">
      <c r="A31" s="22" t="n">
        <f aca="false">IF(B31="","",COUNTIFS(Overall!$C$2:$C$1000,"CF",Overall!$F$2:$F$1000,"&gt;"&amp;C31)+1)</f>
        <v>27</v>
      </c>
      <c r="B31" s="11" t="str">
        <f aca="false">IFERROR(INDEX(Overall!$B$2:$B$1000,MATCH("CF|30",Overall!$I$2:$I$1000,0)),"")</f>
        <v>Kermit</v>
      </c>
      <c r="C31" s="19" t="n">
        <f aca="false">IFERROR(INDEX(Overall!$F$2:$F$1000,MATCH("CF|30",Overall!$I$2:$I$1000,0)),"")</f>
        <v>88</v>
      </c>
    </row>
    <row r="32" customFormat="false" ht="15" hidden="false" customHeight="false" outlineLevel="0" collapsed="false">
      <c r="A32" s="22" t="n">
        <f aca="false">IF(B32="","",COUNTIFS(Overall!$C$2:$C$1000,"CF",Overall!$F$2:$F$1000,"&gt;"&amp;C32)+1)</f>
        <v>27</v>
      </c>
      <c r="B32" s="11" t="str">
        <f aca="false">IFERROR(INDEX(Overall!$B$2:$B$1000,MATCH("CF|31",Overall!$I$2:$I$1000,0)),"")</f>
        <v>Xavier foster</v>
      </c>
      <c r="C32" s="19" t="n">
        <f aca="false">IFERROR(INDEX(Overall!$F$2:$F$1000,MATCH("CF|31",Overall!$I$2:$I$1000,0)),"")</f>
        <v>88</v>
      </c>
    </row>
    <row r="33" customFormat="false" ht="15" hidden="false" customHeight="false" outlineLevel="0" collapsed="false">
      <c r="A33" s="22" t="n">
        <f aca="false">IF(B33="","",COUNTIFS(Overall!$C$2:$C$1000,"CF",Overall!$F$2:$F$1000,"&gt;"&amp;C33)+1)</f>
        <v>32</v>
      </c>
      <c r="B33" s="11" t="str">
        <f aca="false">IFERROR(INDEX(Overall!$B$2:$B$1000,MATCH("CF|32",Overall!$I$2:$I$1000,0)),"")</f>
        <v>Batman</v>
      </c>
      <c r="C33" s="19" t="n">
        <f aca="false">IFERROR(INDEX(Overall!$F$2:$F$1000,MATCH("CF|32",Overall!$I$2:$I$1000,0)),"")</f>
        <v>87</v>
      </c>
    </row>
    <row r="34" customFormat="false" ht="15" hidden="false" customHeight="false" outlineLevel="0" collapsed="false">
      <c r="A34" s="22" t="n">
        <f aca="false">IF(B34="","",COUNTIFS(Overall!$C$2:$C$1000,"CF",Overall!$F$2:$F$1000,"&gt;"&amp;C34)+1)</f>
        <v>32</v>
      </c>
      <c r="B34" s="11" t="str">
        <f aca="false">IFERROR(INDEX(Overall!$B$2:$B$1000,MATCH("CF|33",Overall!$I$2:$I$1000,0)),"")</f>
        <v>Axel blaze</v>
      </c>
      <c r="C34" s="19" t="n">
        <f aca="false">IFERROR(INDEX(Overall!$F$2:$F$1000,MATCH("CF|33",Overall!$I$2:$I$1000,0)),"")</f>
        <v>87</v>
      </c>
    </row>
    <row r="35" customFormat="false" ht="15" hidden="false" customHeight="false" outlineLevel="0" collapsed="false">
      <c r="A35" s="22" t="n">
        <f aca="false">IF(B35="","",COUNTIFS(Overall!$C$2:$C$1000,"CF",Overall!$F$2:$F$1000,"&gt;"&amp;C35)+1)</f>
        <v>32</v>
      </c>
      <c r="B35" s="11" t="str">
        <f aca="false">IFERROR(INDEX(Overall!$B$2:$B$1000,MATCH("CF|34",Overall!$I$2:$I$1000,0)),"")</f>
        <v>Invincible</v>
      </c>
      <c r="C35" s="19" t="n">
        <f aca="false">IFERROR(INDEX(Overall!$F$2:$F$1000,MATCH("CF|34",Overall!$I$2:$I$1000,0)),"")</f>
        <v>87</v>
      </c>
    </row>
    <row r="36" customFormat="false" ht="15" hidden="false" customHeight="false" outlineLevel="0" collapsed="false">
      <c r="A36" s="22" t="n">
        <f aca="false">IF(B36="","",COUNTIFS(Overall!$C$2:$C$1000,"CF",Overall!$F$2:$F$1000,"&gt;"&amp;C36)+1)</f>
        <v>32</v>
      </c>
      <c r="B36" s="11" t="str">
        <f aca="false">IFERROR(INDEX(Overall!$B$2:$B$1000,MATCH("CF|35",Overall!$I$2:$I$1000,0)),"")</f>
        <v>Shadow</v>
      </c>
      <c r="C36" s="19" t="n">
        <f aca="false">IFERROR(INDEX(Overall!$F$2:$F$1000,MATCH("CF|35",Overall!$I$2:$I$1000,0)),"")</f>
        <v>87</v>
      </c>
    </row>
    <row r="37" customFormat="false" ht="15" hidden="false" customHeight="false" outlineLevel="0" collapsed="false">
      <c r="A37" s="22" t="n">
        <f aca="false">IF(B37="","",COUNTIFS(Overall!$C$2:$C$1000,"CF",Overall!$F$2:$F$1000,"&gt;"&amp;C37)+1)</f>
        <v>36</v>
      </c>
      <c r="B37" s="11" t="str">
        <f aca="false">IFERROR(INDEX(Overall!$B$2:$B$1000,MATCH("CF|36",Overall!$I$2:$I$1000,0)),"")</f>
        <v>Mordecai</v>
      </c>
      <c r="C37" s="19" t="n">
        <f aca="false">IFERROR(INDEX(Overall!$F$2:$F$1000,MATCH("CF|36",Overall!$I$2:$I$1000,0)),"")</f>
        <v>86</v>
      </c>
    </row>
    <row r="38" customFormat="false" ht="15" hidden="false" customHeight="false" outlineLevel="0" collapsed="false">
      <c r="A38" s="22" t="n">
        <f aca="false">IF(B38="","",COUNTIFS(Overall!$C$2:$C$1000,"CF",Overall!$F$2:$F$1000,"&gt;"&amp;C38)+1)</f>
        <v>36</v>
      </c>
      <c r="B38" s="11" t="str">
        <f aca="false">IFERROR(INDEX(Overall!$B$2:$B$1000,MATCH("CF|37",Overall!$I$2:$I$1000,0)),"")</f>
        <v>Bugs bunny</v>
      </c>
      <c r="C38" s="19" t="n">
        <f aca="false">IFERROR(INDEX(Overall!$F$2:$F$1000,MATCH("CF|37",Overall!$I$2:$I$1000,0)),"")</f>
        <v>86</v>
      </c>
    </row>
    <row r="39" customFormat="false" ht="15" hidden="false" customHeight="false" outlineLevel="0" collapsed="false">
      <c r="A39" s="22" t="n">
        <f aca="false">IF(B39="","",COUNTIFS(Overall!$C$2:$C$1000,"CF",Overall!$F$2:$F$1000,"&gt;"&amp;C39)+1)</f>
        <v>36</v>
      </c>
      <c r="B39" s="11" t="str">
        <f aca="false">IFERROR(INDEX(Overall!$B$2:$B$1000,MATCH("CF|38",Overall!$I$2:$I$1000,0)),"")</f>
        <v>Captain falcon</v>
      </c>
      <c r="C39" s="19" t="n">
        <f aca="false">IFERROR(INDEX(Overall!$F$2:$F$1000,MATCH("CF|38",Overall!$I$2:$I$1000,0)),"")</f>
        <v>86</v>
      </c>
    </row>
    <row r="40" customFormat="false" ht="15" hidden="false" customHeight="false" outlineLevel="0" collapsed="false">
      <c r="A40" s="22" t="n">
        <f aca="false">IF(B40="","",COUNTIFS(Overall!$C$2:$C$1000,"CF",Overall!$F$2:$F$1000,"&gt;"&amp;C40)+1)</f>
        <v>39</v>
      </c>
      <c r="B40" s="11" t="str">
        <f aca="false">IFERROR(INDEX(Overall!$B$2:$B$1000,MATCH("CF|39",Overall!$I$2:$I$1000,0)),"")</f>
        <v>Kratos</v>
      </c>
      <c r="C40" s="19" t="n">
        <f aca="false">IFERROR(INDEX(Overall!$F$2:$F$1000,MATCH("CF|39",Overall!$I$2:$I$1000,0)),"")</f>
        <v>85</v>
      </c>
    </row>
    <row r="41" customFormat="false" ht="15" hidden="false" customHeight="false" outlineLevel="0" collapsed="false">
      <c r="A41" s="22" t="n">
        <f aca="false">IF(B41="","",COUNTIFS(Overall!$C$2:$C$1000,"CF",Overall!$F$2:$F$1000,"&gt;"&amp;C41)+1)</f>
        <v>39</v>
      </c>
      <c r="B41" s="11" t="str">
        <f aca="false">IFERROR(INDEX(Overall!$B$2:$B$1000,MATCH("CF|40",Overall!$I$2:$I$1000,0)),"")</f>
        <v>El primo</v>
      </c>
      <c r="C41" s="19" t="n">
        <f aca="false">IFERROR(INDEX(Overall!$F$2:$F$1000,MATCH("CF|40",Overall!$I$2:$I$1000,0)),"")</f>
        <v>85</v>
      </c>
    </row>
    <row r="42" customFormat="false" ht="15" hidden="false" customHeight="false" outlineLevel="0" collapsed="false">
      <c r="A42" s="22" t="n">
        <f aca="false">IF(B42="","",COUNTIFS(Overall!$C$2:$C$1000,"CF",Overall!$F$2:$F$1000,"&gt;"&amp;C42)+1)</f>
        <v>39</v>
      </c>
      <c r="B42" s="11" t="str">
        <f aca="false">IFERROR(INDEX(Overall!$B$2:$B$1000,MATCH("CF|41",Overall!$I$2:$I$1000,0)),"")</f>
        <v>Deadpool</v>
      </c>
      <c r="C42" s="19" t="n">
        <f aca="false">IFERROR(INDEX(Overall!$F$2:$F$1000,MATCH("CF|41",Overall!$I$2:$I$1000,0)),"")</f>
        <v>85</v>
      </c>
    </row>
    <row r="43" customFormat="false" ht="15" hidden="false" customHeight="false" outlineLevel="0" collapsed="false">
      <c r="A43" s="22" t="n">
        <f aca="false">IF(B43="","",COUNTIFS(Overall!$C$2:$C$1000,"CF",Overall!$F$2:$F$1000,"&gt;"&amp;C43)+1)</f>
        <v>42</v>
      </c>
      <c r="B43" s="11" t="str">
        <f aca="false">IFERROR(INDEX(Overall!$B$2:$B$1000,MATCH("CF|42",Overall!$I$2:$I$1000,0)),"")</f>
        <v>Judai yuki</v>
      </c>
      <c r="C43" s="19" t="n">
        <f aca="false">IFERROR(INDEX(Overall!$F$2:$F$1000,MATCH("CF|42",Overall!$I$2:$I$1000,0)),"")</f>
        <v>84</v>
      </c>
    </row>
    <row r="44" customFormat="false" ht="15" hidden="false" customHeight="false" outlineLevel="0" collapsed="false">
      <c r="A44" s="22" t="n">
        <f aca="false">IF(B44="","",COUNTIFS(Overall!$C$2:$C$1000,"CF",Overall!$F$2:$F$1000,"&gt;"&amp;C44)+1)</f>
        <v>42</v>
      </c>
      <c r="B44" s="11" t="str">
        <f aca="false">IFERROR(INDEX(Overall!$B$2:$B$1000,MATCH("CF|43",Overall!$I$2:$I$1000,0)),"")</f>
        <v>Yoshi</v>
      </c>
      <c r="C44" s="19" t="n">
        <f aca="false">IFERROR(INDEX(Overall!$F$2:$F$1000,MATCH("CF|43",Overall!$I$2:$I$1000,0)),"")</f>
        <v>84</v>
      </c>
    </row>
    <row r="45" customFormat="false" ht="15" hidden="false" customHeight="false" outlineLevel="0" collapsed="false">
      <c r="A45" s="22" t="n">
        <f aca="false">IF(B45="","",COUNTIFS(Overall!$C$2:$C$1000,"CF",Overall!$F$2:$F$1000,"&gt;"&amp;C45)+1)</f>
        <v>42</v>
      </c>
      <c r="B45" s="11" t="str">
        <f aca="false">IFERROR(INDEX(Overall!$B$2:$B$1000,MATCH("CF|44",Overall!$I$2:$I$1000,0)),"")</f>
        <v>Kobe bryant</v>
      </c>
      <c r="C45" s="19" t="n">
        <f aca="false">IFERROR(INDEX(Overall!$F$2:$F$1000,MATCH("CF|44",Overall!$I$2:$I$1000,0)),"")</f>
        <v>84</v>
      </c>
    </row>
    <row r="46" customFormat="false" ht="15" hidden="false" customHeight="false" outlineLevel="0" collapsed="false">
      <c r="A46" s="22" t="n">
        <f aca="false">IF(B46="","",COUNTIFS(Overall!$C$2:$C$1000,"CF",Overall!$F$2:$F$1000,"&gt;"&amp;C46)+1)</f>
        <v>45</v>
      </c>
      <c r="B46" s="11" t="str">
        <f aca="false">IFERROR(INDEX(Overall!$B$2:$B$1000,MATCH("CF|45",Overall!$I$2:$I$1000,0)),"")</f>
        <v>Slenderman</v>
      </c>
      <c r="C46" s="19" t="n">
        <f aca="false">IFERROR(INDEX(Overall!$F$2:$F$1000,MATCH("CF|45",Overall!$I$2:$I$1000,0)),"")</f>
        <v>83</v>
      </c>
    </row>
    <row r="47" customFormat="false" ht="15" hidden="false" customHeight="false" outlineLevel="0" collapsed="false">
      <c r="A47" s="22" t="n">
        <f aca="false">IF(B47="","",COUNTIFS(Overall!$C$2:$C$1000,"CF",Overall!$F$2:$F$1000,"&gt;"&amp;C47)+1)</f>
        <v>45</v>
      </c>
      <c r="B47" s="11" t="str">
        <f aca="false">IFERROR(INDEX(Overall!$B$2:$B$1000,MATCH("CF|46",Overall!$I$2:$I$1000,0)),"")</f>
        <v>Fox</v>
      </c>
      <c r="C47" s="19" t="n">
        <f aca="false">IFERROR(INDEX(Overall!$F$2:$F$1000,MATCH("CF|46",Overall!$I$2:$I$1000,0)),"")</f>
        <v>83</v>
      </c>
    </row>
    <row r="48" customFormat="false" ht="15" hidden="false" customHeight="false" outlineLevel="0" collapsed="false">
      <c r="A48" s="22" t="n">
        <f aca="false">IF(B48="","",COUNTIFS(Overall!$C$2:$C$1000,"CF",Overall!$F$2:$F$1000,"&gt;"&amp;C48)+1)</f>
        <v>47</v>
      </c>
      <c r="B48" s="11" t="str">
        <f aca="false">IFERROR(INDEX(Overall!$B$2:$B$1000,MATCH("CF|47",Overall!$I$2:$I$1000,0)),"")</f>
        <v>Ash Ketchum</v>
      </c>
      <c r="C48" s="19" t="n">
        <f aca="false">IFERROR(INDEX(Overall!$F$2:$F$1000,MATCH("CF|47",Overall!$I$2:$I$1000,0)),"")</f>
        <v>82</v>
      </c>
    </row>
    <row r="49" customFormat="false" ht="15" hidden="false" customHeight="false" outlineLevel="0" collapsed="false">
      <c r="A49" s="22" t="n">
        <f aca="false">IF(B49="","",COUNTIFS(Overall!$C$2:$C$1000,"CF",Overall!$F$2:$F$1000,"&gt;"&amp;C49)+1)</f>
        <v>47</v>
      </c>
      <c r="B49" s="11" t="str">
        <f aca="false">IFERROR(INDEX(Overall!$B$2:$B$1000,MATCH("CF|48",Overall!$I$2:$I$1000,0)),"")</f>
        <v>Ginyu</v>
      </c>
      <c r="C49" s="19" t="n">
        <f aca="false">IFERROR(INDEX(Overall!$F$2:$F$1000,MATCH("CF|48",Overall!$I$2:$I$1000,0)),"")</f>
        <v>82</v>
      </c>
    </row>
    <row r="50" customFormat="false" ht="15" hidden="false" customHeight="false" outlineLevel="0" collapsed="false">
      <c r="A50" s="22" t="n">
        <f aca="false">IF(B50="","",COUNTIFS(Overall!$C$2:$C$1000,"CF",Overall!$F$2:$F$1000,"&gt;"&amp;C50)+1)</f>
        <v>47</v>
      </c>
      <c r="B50" s="11" t="str">
        <f aca="false">IFERROR(INDEX(Overall!$B$2:$B$1000,MATCH("CF|49",Overall!$I$2:$I$1000,0)),"")</f>
        <v>Beast</v>
      </c>
      <c r="C50" s="19" t="n">
        <f aca="false">IFERROR(INDEX(Overall!$F$2:$F$1000,MATCH("CF|49",Overall!$I$2:$I$1000,0)),"")</f>
        <v>82</v>
      </c>
    </row>
    <row r="51" customFormat="false" ht="15" hidden="false" customHeight="false" outlineLevel="0" collapsed="false">
      <c r="A51" s="22" t="n">
        <f aca="false">IF(B51="","",COUNTIFS(Overall!$C$2:$C$1000,"CF",Overall!$F$2:$F$1000,"&gt;"&amp;C51)+1)</f>
        <v>50</v>
      </c>
      <c r="B51" s="11" t="str">
        <f aca="false">IFERROR(INDEX(Overall!$B$2:$B$1000,MATCH("CF|50",Overall!$I$2:$I$1000,0)),"")</f>
        <v>Master chief</v>
      </c>
      <c r="C51" s="19" t="n">
        <f aca="false">IFERROR(INDEX(Overall!$F$2:$F$1000,MATCH("CF|50",Overall!$I$2:$I$1000,0)),"")</f>
        <v>81</v>
      </c>
    </row>
    <row r="52" customFormat="false" ht="15" hidden="false" customHeight="false" outlineLevel="0" collapsed="false">
      <c r="A52" s="22" t="n">
        <f aca="false">IF(B52="","",COUNTIFS(Overall!$C$2:$C$1000,"CF",Overall!$F$2:$F$1000,"&gt;"&amp;C52)+1)</f>
        <v>51</v>
      </c>
      <c r="B52" s="11" t="str">
        <f aca="false">IFERROR(INDEX(Overall!$B$2:$B$1000,MATCH("CF|51",Overall!$I$2:$I$1000,0)),"")</f>
        <v>Leclerc</v>
      </c>
      <c r="C52" s="19" t="n">
        <f aca="false">IFERROR(INDEX(Overall!$F$2:$F$1000,MATCH("CF|51",Overall!$I$2:$I$1000,0)),"")</f>
        <v>80</v>
      </c>
    </row>
    <row r="53" customFormat="false" ht="15" hidden="false" customHeight="false" outlineLevel="0" collapsed="false">
      <c r="A53" s="22" t="n">
        <f aca="false">IF(B53="","",COUNTIFS(Overall!$C$2:$C$1000,"CF",Overall!$F$2:$F$1000,"&gt;"&amp;C53)+1)</f>
        <v>51</v>
      </c>
      <c r="B53" s="11" t="str">
        <f aca="false">IFERROR(INDEX(Overall!$B$2:$B$1000,MATCH("CF|52",Overall!$I$2:$I$1000,0)),"")</f>
        <v>George Washington</v>
      </c>
      <c r="C53" s="19" t="n">
        <f aca="false">IFERROR(INDEX(Overall!$F$2:$F$1000,MATCH("CF|52",Overall!$I$2:$I$1000,0)),"")</f>
        <v>80</v>
      </c>
    </row>
    <row r="54" customFormat="false" ht="15" hidden="false" customHeight="false" outlineLevel="0" collapsed="false">
      <c r="A54" s="22" t="n">
        <f aca="false">IF(B54="","",COUNTIFS(Overall!$C$2:$C$1000,"CF",Overall!$F$2:$F$1000,"&gt;"&amp;C54)+1)</f>
        <v>51</v>
      </c>
      <c r="B54" s="11" t="str">
        <f aca="false">IFERROR(INDEX(Overall!$B$2:$B$1000,MATCH("CF|53",Overall!$I$2:$I$1000,0)),"")</f>
        <v>Alien</v>
      </c>
      <c r="C54" s="19" t="n">
        <f aca="false">IFERROR(INDEX(Overall!$F$2:$F$1000,MATCH("CF|53",Overall!$I$2:$I$1000,0)),"")</f>
        <v>80</v>
      </c>
    </row>
    <row r="55" customFormat="false" ht="15" hidden="false" customHeight="false" outlineLevel="0" collapsed="false">
      <c r="A55" s="22" t="n">
        <f aca="false">IF(B55="","",COUNTIFS(Overall!$C$2:$C$1000,"CF",Overall!$F$2:$F$1000,"&gt;"&amp;C55)+1)</f>
        <v>54</v>
      </c>
      <c r="B55" s="11" t="str">
        <f aca="false">IFERROR(INDEX(Overall!$B$2:$B$1000,MATCH("CF|54",Overall!$I$2:$I$1000,0)),"")</f>
        <v>Zeus</v>
      </c>
      <c r="C55" s="19" t="n">
        <f aca="false">IFERROR(INDEX(Overall!$F$2:$F$1000,MATCH("CF|54",Overall!$I$2:$I$1000,0)),"")</f>
        <v>79</v>
      </c>
    </row>
    <row r="56" customFormat="false" ht="15" hidden="false" customHeight="false" outlineLevel="0" collapsed="false">
      <c r="A56" s="22" t="n">
        <f aca="false">IF(B56="","",COUNTIFS(Overall!$C$2:$C$1000,"CF",Overall!$F$2:$F$1000,"&gt;"&amp;C56)+1)</f>
        <v>54</v>
      </c>
      <c r="B56" s="11" t="str">
        <f aca="false">IFERROR(INDEX(Overall!$B$2:$B$1000,MATCH("CF|55",Overall!$I$2:$I$1000,0)),"")</f>
        <v>Minnie</v>
      </c>
      <c r="C56" s="19" t="n">
        <f aca="false">IFERROR(INDEX(Overall!$F$2:$F$1000,MATCH("CF|55",Overall!$I$2:$I$1000,0)),"")</f>
        <v>79</v>
      </c>
    </row>
    <row r="57" customFormat="false" ht="15" hidden="false" customHeight="false" outlineLevel="0" collapsed="false">
      <c r="A57" s="22" t="n">
        <f aca="false">IF(B57="","",COUNTIFS(Overall!$C$2:$C$1000,"CF",Overall!$F$2:$F$1000,"&gt;"&amp;C57)+1)</f>
        <v>54</v>
      </c>
      <c r="B57" s="11" t="str">
        <f aca="false">IFERROR(INDEX(Overall!$B$2:$B$1000,MATCH("CF|56",Overall!$I$2:$I$1000,0)),"")</f>
        <v>Eminem</v>
      </c>
      <c r="C57" s="19" t="n">
        <f aca="false">IFERROR(INDEX(Overall!$F$2:$F$1000,MATCH("CF|56",Overall!$I$2:$I$1000,0)),"")</f>
        <v>79</v>
      </c>
    </row>
    <row r="58" customFormat="false" ht="15" hidden="false" customHeight="false" outlineLevel="0" collapsed="false">
      <c r="A58" s="22" t="n">
        <f aca="false">IF(B58="","",COUNTIFS(Overall!$C$2:$C$1000,"CF",Overall!$F$2:$F$1000,"&gt;"&amp;C58)+1)</f>
        <v>57</v>
      </c>
      <c r="B58" s="11" t="str">
        <f aca="false">IFERROR(INDEX(Overall!$B$2:$B$1000,MATCH("CF|57",Overall!$I$2:$I$1000,0)),"")</f>
        <v>King bob omb</v>
      </c>
      <c r="C58" s="19" t="n">
        <f aca="false">IFERROR(INDEX(Overall!$F$2:$F$1000,MATCH("CF|57",Overall!$I$2:$I$1000,0)),"")</f>
        <v>78</v>
      </c>
    </row>
    <row r="59" customFormat="false" ht="15" hidden="false" customHeight="false" outlineLevel="0" collapsed="false">
      <c r="A59" s="22" t="n">
        <f aca="false">IF(B59="","",COUNTIFS(Overall!$C$2:$C$1000,"CF",Overall!$F$2:$F$1000,"&gt;"&amp;C59)+1)</f>
        <v>57</v>
      </c>
      <c r="B59" s="11" t="str">
        <f aca="false">IFERROR(INDEX(Overall!$B$2:$B$1000,MATCH("CF|58",Overall!$I$2:$I$1000,0)),"")</f>
        <v>Abraham Lincoln</v>
      </c>
      <c r="C59" s="19" t="n">
        <f aca="false">IFERROR(INDEX(Overall!$F$2:$F$1000,MATCH("CF|58",Overall!$I$2:$I$1000,0)),"")</f>
        <v>78</v>
      </c>
    </row>
    <row r="60" customFormat="false" ht="15" hidden="false" customHeight="false" outlineLevel="0" collapsed="false">
      <c r="A60" s="22" t="n">
        <f aca="false">IF(B60="","",COUNTIFS(Overall!$C$2:$C$1000,"CF",Overall!$F$2:$F$1000,"&gt;"&amp;C60)+1)</f>
        <v>59</v>
      </c>
      <c r="B60" s="11" t="str">
        <f aca="false">IFERROR(INDEX(Overall!$B$2:$B$1000,MATCH("CF|59",Overall!$I$2:$I$1000,0)),"")</f>
        <v>Lil uzi</v>
      </c>
      <c r="C60" s="19" t="n">
        <f aca="false">IFERROR(INDEX(Overall!$F$2:$F$1000,MATCH("CF|59",Overall!$I$2:$I$1000,0)),"")</f>
        <v>77</v>
      </c>
    </row>
    <row r="61" customFormat="false" ht="15" hidden="false" customHeight="false" outlineLevel="0" collapsed="false">
      <c r="A61" s="22" t="n">
        <f aca="false">IF(B61="","",COUNTIFS(Overall!$C$2:$C$1000,"CF",Overall!$F$2:$F$1000,"&gt;"&amp;C61)+1)</f>
        <v>59</v>
      </c>
      <c r="B61" s="11" t="str">
        <f aca="false">IFERROR(INDEX(Overall!$B$2:$B$1000,MATCH("CF|60",Overall!$I$2:$I$1000,0)),"")</f>
        <v>Pac man</v>
      </c>
      <c r="C61" s="19" t="n">
        <f aca="false">IFERROR(INDEX(Overall!$F$2:$F$1000,MATCH("CF|60",Overall!$I$2:$I$1000,0)),"")</f>
        <v>77</v>
      </c>
    </row>
    <row r="62" customFormat="false" ht="15" hidden="false" customHeight="false" outlineLevel="0" collapsed="false">
      <c r="A62" s="22" t="n">
        <f aca="false">IF(B62="","",COUNTIFS(Overall!$C$2:$C$1000,"CF",Overall!$F$2:$F$1000,"&gt;"&amp;C62)+1)</f>
        <v>61</v>
      </c>
      <c r="B62" s="11" t="str">
        <f aca="false">IFERROR(INDEX(Overall!$B$2:$B$1000,MATCH("CF|61",Overall!$I$2:$I$1000,0)),"")</f>
        <v>Chicharito</v>
      </c>
      <c r="C62" s="19" t="n">
        <f aca="false">IFERROR(INDEX(Overall!$F$2:$F$1000,MATCH("CF|61",Overall!$I$2:$I$1000,0)),"")</f>
        <v>74</v>
      </c>
    </row>
    <row r="63" customFormat="false" ht="15" hidden="false" customHeight="false" outlineLevel="0" collapsed="false">
      <c r="A63" s="22" t="str">
        <f aca="false">IF(B63="","",COUNTIFS(Overall!$C$2:$C$1000,"CF",Overall!$F$2:$F$1000,"&gt;"&amp;C63)+1)</f>
        <v/>
      </c>
      <c r="B63" s="11" t="str">
        <f aca="false">IFERROR(INDEX(Overall!$B$2:$B$1000,MATCH("CF|62",Overall!$I$2:$I$1000,0)),"")</f>
        <v/>
      </c>
      <c r="C63" s="19" t="str">
        <f aca="false">IFERROR(INDEX(Overall!$F$2:$F$1000,MATCH("CF|62",Overall!$I$2:$I$1000,0)),"")</f>
        <v/>
      </c>
    </row>
    <row r="64" customFormat="false" ht="15" hidden="false" customHeight="false" outlineLevel="0" collapsed="false">
      <c r="A64" s="22" t="str">
        <f aca="false">IF(B64="","",COUNTIFS(Overall!$C$2:$C$1000,"CF",Overall!$F$2:$F$1000,"&gt;"&amp;C64)+1)</f>
        <v/>
      </c>
      <c r="B64" s="11" t="str">
        <f aca="false">IFERROR(INDEX(Overall!$B$2:$B$1000,MATCH("CF|63",Overall!$I$2:$I$1000,0)),"")</f>
        <v/>
      </c>
      <c r="C64" s="19" t="str">
        <f aca="false">IFERROR(INDEX(Overall!$F$2:$F$1000,MATCH("CF|63",Overall!$I$2:$I$1000,0)),"")</f>
        <v/>
      </c>
    </row>
    <row r="65" customFormat="false" ht="15" hidden="false" customHeight="false" outlineLevel="0" collapsed="false">
      <c r="A65" s="22" t="str">
        <f aca="false">IF(B65="","",COUNTIFS(Overall!$C$2:$C$1000,"CF",Overall!$F$2:$F$1000,"&gt;"&amp;C65)+1)</f>
        <v/>
      </c>
      <c r="B65" s="11" t="str">
        <f aca="false">IFERROR(INDEX(Overall!$B$2:$B$1000,MATCH("CF|64",Overall!$I$2:$I$1000,0)),"")</f>
        <v/>
      </c>
      <c r="C65" s="19" t="str">
        <f aca="false">IFERROR(INDEX(Overall!$F$2:$F$1000,MATCH("CF|64",Overall!$I$2:$I$1000,0)),"")</f>
        <v/>
      </c>
    </row>
    <row r="66" customFormat="false" ht="15" hidden="false" customHeight="false" outlineLevel="0" collapsed="false">
      <c r="A66" s="22" t="str">
        <f aca="false">IF(B66="","",COUNTIFS(Overall!$C$2:$C$1000,"CF",Overall!$F$2:$F$1000,"&gt;"&amp;C66)+1)</f>
        <v/>
      </c>
      <c r="B66" s="11" t="str">
        <f aca="false">IFERROR(INDEX(Overall!$B$2:$B$1000,MATCH("CF|65",Overall!$I$2:$I$1000,0)),"")</f>
        <v/>
      </c>
      <c r="C66" s="19" t="str">
        <f aca="false">IFERROR(INDEX(Overall!$F$2:$F$1000,MATCH("CF|65",Overall!$I$2:$I$1000,0)),"")</f>
        <v/>
      </c>
    </row>
    <row r="67" customFormat="false" ht="15" hidden="false" customHeight="false" outlineLevel="0" collapsed="false">
      <c r="A67" s="22" t="str">
        <f aca="false">IF(B67="","",COUNTIFS(Overall!$C$2:$C$1000,"CF",Overall!$F$2:$F$1000,"&gt;"&amp;C67)+1)</f>
        <v/>
      </c>
      <c r="B67" s="11" t="str">
        <f aca="false">IFERROR(INDEX(Overall!$B$2:$B$1000,MATCH("CF|66",Overall!$I$2:$I$1000,0)),"")</f>
        <v/>
      </c>
      <c r="C67" s="19" t="str">
        <f aca="false">IFERROR(INDEX(Overall!$F$2:$F$1000,MATCH("CF|66",Overall!$I$2:$I$1000,0)),"")</f>
        <v/>
      </c>
    </row>
    <row r="68" customFormat="false" ht="15" hidden="false" customHeight="false" outlineLevel="0" collapsed="false">
      <c r="A68" s="22" t="str">
        <f aca="false">IF(B68="","",COUNTIFS(Overall!$C$2:$C$1000,"CF",Overall!$F$2:$F$1000,"&gt;"&amp;C68)+1)</f>
        <v/>
      </c>
      <c r="B68" s="11" t="str">
        <f aca="false">IFERROR(INDEX(Overall!$B$2:$B$1000,MATCH("CF|67",Overall!$I$2:$I$1000,0)),"")</f>
        <v/>
      </c>
      <c r="C68" s="19" t="str">
        <f aca="false">IFERROR(INDEX(Overall!$F$2:$F$1000,MATCH("CF|67",Overall!$I$2:$I$1000,0)),"")</f>
        <v/>
      </c>
    </row>
    <row r="69" customFormat="false" ht="15" hidden="false" customHeight="false" outlineLevel="0" collapsed="false">
      <c r="A69" s="22" t="str">
        <f aca="false">IF(B69="","",COUNTIFS(Overall!$C$2:$C$1000,"CF",Overall!$F$2:$F$1000,"&gt;"&amp;C69)+1)</f>
        <v/>
      </c>
      <c r="B69" s="11" t="str">
        <f aca="false">IFERROR(INDEX(Overall!$B$2:$B$1000,MATCH("CF|68",Overall!$I$2:$I$1000,0)),"")</f>
        <v/>
      </c>
      <c r="C69" s="19" t="str">
        <f aca="false">IFERROR(INDEX(Overall!$F$2:$F$1000,MATCH("CF|68",Overall!$I$2:$I$1000,0)),"")</f>
        <v/>
      </c>
    </row>
    <row r="70" customFormat="false" ht="15" hidden="false" customHeight="false" outlineLevel="0" collapsed="false">
      <c r="A70" s="22" t="str">
        <f aca="false">IF(B70="","",COUNTIFS(Overall!$C$2:$C$1000,"CF",Overall!$F$2:$F$1000,"&gt;"&amp;C70)+1)</f>
        <v/>
      </c>
      <c r="B70" s="11" t="str">
        <f aca="false">IFERROR(INDEX(Overall!$B$2:$B$1000,MATCH("CF|69",Overall!$I$2:$I$1000,0)),"")</f>
        <v/>
      </c>
      <c r="C70" s="19" t="str">
        <f aca="false">IFERROR(INDEX(Overall!$F$2:$F$1000,MATCH("CF|69",Overall!$I$2:$I$1000,0)),"")</f>
        <v/>
      </c>
    </row>
    <row r="71" customFormat="false" ht="15" hidden="false" customHeight="false" outlineLevel="0" collapsed="false">
      <c r="A71" s="22" t="str">
        <f aca="false">IF(B71="","",COUNTIFS(Overall!$C$2:$C$1000,"CF",Overall!$F$2:$F$1000,"&gt;"&amp;C71)+1)</f>
        <v/>
      </c>
      <c r="B71" s="11" t="str">
        <f aca="false">IFERROR(INDEX(Overall!$B$2:$B$1000,MATCH("CF|70",Overall!$I$2:$I$1000,0)),"")</f>
        <v/>
      </c>
      <c r="C71" s="19" t="str">
        <f aca="false">IFERROR(INDEX(Overall!$F$2:$F$1000,MATCH("CF|70",Overall!$I$2:$I$1000,0)),"")</f>
        <v/>
      </c>
    </row>
    <row r="72" customFormat="false" ht="15" hidden="false" customHeight="false" outlineLevel="0" collapsed="false">
      <c r="A72" s="22" t="str">
        <f aca="false">IF(B72="","",COUNTIFS(Overall!$C$2:$C$1000,"CF",Overall!$F$2:$F$1000,"&gt;"&amp;C72)+1)</f>
        <v/>
      </c>
      <c r="B72" s="11" t="str">
        <f aca="false">IFERROR(INDEX(Overall!$B$2:$B$1000,MATCH("CF|71",Overall!$I$2:$I$1000,0)),"")</f>
        <v/>
      </c>
      <c r="C72" s="19" t="str">
        <f aca="false">IFERROR(INDEX(Overall!$F$2:$F$1000,MATCH("CF|71",Overall!$I$2:$I$1000,0)),"")</f>
        <v/>
      </c>
    </row>
    <row r="73" customFormat="false" ht="15" hidden="false" customHeight="false" outlineLevel="0" collapsed="false">
      <c r="A73" s="22" t="str">
        <f aca="false">IF(B73="","",COUNTIFS(Overall!$C$2:$C$1000,"CF",Overall!$F$2:$F$1000,"&gt;"&amp;C73)+1)</f>
        <v/>
      </c>
      <c r="B73" s="11" t="str">
        <f aca="false">IFERROR(INDEX(Overall!$B$2:$B$1000,MATCH("CF|72",Overall!$I$2:$I$1000,0)),"")</f>
        <v/>
      </c>
      <c r="C73" s="19" t="str">
        <f aca="false">IFERROR(INDEX(Overall!$F$2:$F$1000,MATCH("CF|72",Overall!$I$2:$I$1000,0)),"")</f>
        <v/>
      </c>
    </row>
    <row r="74" customFormat="false" ht="15" hidden="false" customHeight="false" outlineLevel="0" collapsed="false">
      <c r="A74" s="22" t="str">
        <f aca="false">IF(B74="","",COUNTIFS(Overall!$C$2:$C$1000,"CF",Overall!$F$2:$F$1000,"&gt;"&amp;C74)+1)</f>
        <v/>
      </c>
      <c r="B74" s="11" t="str">
        <f aca="false">IFERROR(INDEX(Overall!$B$2:$B$1000,MATCH("CF|73",Overall!$I$2:$I$1000,0)),"")</f>
        <v/>
      </c>
      <c r="C74" s="19" t="str">
        <f aca="false">IFERROR(INDEX(Overall!$F$2:$F$1000,MATCH("CF|73",Overall!$I$2:$I$1000,0)),"")</f>
        <v/>
      </c>
    </row>
    <row r="75" customFormat="false" ht="15" hidden="false" customHeight="false" outlineLevel="0" collapsed="false">
      <c r="A75" s="22" t="str">
        <f aca="false">IF(B75="","",COUNTIFS(Overall!$C$2:$C$1000,"CF",Overall!$F$2:$F$1000,"&gt;"&amp;C75)+1)</f>
        <v/>
      </c>
      <c r="B75" s="11" t="str">
        <f aca="false">IFERROR(INDEX(Overall!$B$2:$B$1000,MATCH("CF|74",Overall!$I$2:$I$1000,0)),"")</f>
        <v/>
      </c>
      <c r="C75" s="19" t="str">
        <f aca="false">IFERROR(INDEX(Overall!$F$2:$F$1000,MATCH("CF|74",Overall!$I$2:$I$1000,0)),"")</f>
        <v/>
      </c>
    </row>
    <row r="76" customFormat="false" ht="15" hidden="false" customHeight="false" outlineLevel="0" collapsed="false">
      <c r="A76" s="22" t="str">
        <f aca="false">IF(B76="","",COUNTIFS(Overall!$C$2:$C$1000,"CF",Overall!$F$2:$F$1000,"&gt;"&amp;C76)+1)</f>
        <v/>
      </c>
      <c r="B76" s="11" t="str">
        <f aca="false">IFERROR(INDEX(Overall!$B$2:$B$1000,MATCH("CF|75",Overall!$I$2:$I$1000,0)),"")</f>
        <v/>
      </c>
      <c r="C76" s="19" t="str">
        <f aca="false">IFERROR(INDEX(Overall!$F$2:$F$1000,MATCH("CF|75",Overall!$I$2:$I$1000,0)),"")</f>
        <v/>
      </c>
    </row>
    <row r="77" customFormat="false" ht="15" hidden="false" customHeight="false" outlineLevel="0" collapsed="false">
      <c r="A77" s="22" t="str">
        <f aca="false">IF(B77="","",COUNTIFS(Overall!$C$2:$C$1000,"CF",Overall!$F$2:$F$1000,"&gt;"&amp;C77)+1)</f>
        <v/>
      </c>
      <c r="B77" s="11" t="str">
        <f aca="false">IFERROR(INDEX(Overall!$B$2:$B$1000,MATCH("CF|76",Overall!$I$2:$I$1000,0)),"")</f>
        <v/>
      </c>
      <c r="C77" s="19" t="str">
        <f aca="false">IFERROR(INDEX(Overall!$F$2:$F$1000,MATCH("CF|76",Overall!$I$2:$I$1000,0)),"")</f>
        <v/>
      </c>
    </row>
    <row r="78" customFormat="false" ht="15" hidden="false" customHeight="false" outlineLevel="0" collapsed="false">
      <c r="A78" s="22" t="str">
        <f aca="false">IF(B78="","",COUNTIFS(Overall!$C$2:$C$1000,"CF",Overall!$F$2:$F$1000,"&gt;"&amp;C78)+1)</f>
        <v/>
      </c>
      <c r="B78" s="11" t="str">
        <f aca="false">IFERROR(INDEX(Overall!$B$2:$B$1000,MATCH("CF|77",Overall!$I$2:$I$1000,0)),"")</f>
        <v/>
      </c>
      <c r="C78" s="19" t="str">
        <f aca="false">IFERROR(INDEX(Overall!$F$2:$F$1000,MATCH("CF|77",Overall!$I$2:$I$1000,0)),"")</f>
        <v/>
      </c>
    </row>
    <row r="79" customFormat="false" ht="15" hidden="false" customHeight="false" outlineLevel="0" collapsed="false">
      <c r="A79" s="22" t="str">
        <f aca="false">IF(B79="","",COUNTIFS(Overall!$C$2:$C$1000,"CF",Overall!$F$2:$F$1000,"&gt;"&amp;C79)+1)</f>
        <v/>
      </c>
      <c r="B79" s="11" t="str">
        <f aca="false">IFERROR(INDEX(Overall!$B$2:$B$1000,MATCH("CF|78",Overall!$I$2:$I$1000,0)),"")</f>
        <v/>
      </c>
      <c r="C79" s="19" t="str">
        <f aca="false">IFERROR(INDEX(Overall!$F$2:$F$1000,MATCH("CF|78",Overall!$I$2:$I$1000,0)),"")</f>
        <v/>
      </c>
    </row>
    <row r="80" customFormat="false" ht="15" hidden="false" customHeight="false" outlineLevel="0" collapsed="false">
      <c r="A80" s="22" t="str">
        <f aca="false">IF(B80="","",COUNTIFS(Overall!$C$2:$C$1000,"CF",Overall!$F$2:$F$1000,"&gt;"&amp;C80)+1)</f>
        <v/>
      </c>
      <c r="B80" s="11" t="str">
        <f aca="false">IFERROR(INDEX(Overall!$B$2:$B$1000,MATCH("CF|79",Overall!$I$2:$I$1000,0)),"")</f>
        <v/>
      </c>
      <c r="C80" s="19" t="str">
        <f aca="false">IFERROR(INDEX(Overall!$F$2:$F$1000,MATCH("CF|79",Overall!$I$2:$I$1000,0)),"")</f>
        <v/>
      </c>
    </row>
    <row r="81" customFormat="false" ht="15" hidden="false" customHeight="false" outlineLevel="0" collapsed="false">
      <c r="A81" s="22" t="str">
        <f aca="false">IF(B81="","",COUNTIFS(Overall!$C$2:$C$1000,"CF",Overall!$F$2:$F$1000,"&gt;"&amp;C81)+1)</f>
        <v/>
      </c>
      <c r="B81" s="11" t="str">
        <f aca="false">IFERROR(INDEX(Overall!$B$2:$B$1000,MATCH("CF|80",Overall!$I$2:$I$1000,0)),"")</f>
        <v/>
      </c>
      <c r="C81" s="19" t="str">
        <f aca="false">IFERROR(INDEX(Overall!$F$2:$F$1000,MATCH("CF|80",Overall!$I$2:$I$1000,0)),"")</f>
        <v/>
      </c>
    </row>
    <row r="82" customFormat="false" ht="15" hidden="false" customHeight="false" outlineLevel="0" collapsed="false">
      <c r="A82" s="22" t="str">
        <f aca="false">IF(B82="","",COUNTIFS(Overall!$C$2:$C$1000,"CF",Overall!$F$2:$F$1000,"&gt;"&amp;C82)+1)</f>
        <v/>
      </c>
      <c r="B82" s="11" t="str">
        <f aca="false">IFERROR(INDEX(Overall!$B$2:$B$1000,MATCH("CF|81",Overall!$I$2:$I$1000,0)),"")</f>
        <v/>
      </c>
      <c r="C82" s="19" t="str">
        <f aca="false">IFERROR(INDEX(Overall!$F$2:$F$1000,MATCH("CF|81",Overall!$I$2:$I$1000,0)),"")</f>
        <v/>
      </c>
    </row>
    <row r="83" customFormat="false" ht="15" hidden="false" customHeight="false" outlineLevel="0" collapsed="false">
      <c r="A83" s="22" t="str">
        <f aca="false">IF(B83="","",COUNTIFS(Overall!$C$2:$C$1000,"CF",Overall!$F$2:$F$1000,"&gt;"&amp;C83)+1)</f>
        <v/>
      </c>
      <c r="B83" s="11" t="str">
        <f aca="false">IFERROR(INDEX(Overall!$B$2:$B$1000,MATCH("CF|82",Overall!$I$2:$I$1000,0)),"")</f>
        <v/>
      </c>
      <c r="C83" s="19" t="str">
        <f aca="false">IFERROR(INDEX(Overall!$F$2:$F$1000,MATCH("CF|82",Overall!$I$2:$I$1000,0)),"")</f>
        <v/>
      </c>
    </row>
    <row r="84" customFormat="false" ht="15" hidden="false" customHeight="false" outlineLevel="0" collapsed="false">
      <c r="A84" s="22" t="str">
        <f aca="false">IF(B84="","",COUNTIFS(Overall!$C$2:$C$1000,"CF",Overall!$F$2:$F$1000,"&gt;"&amp;C84)+1)</f>
        <v/>
      </c>
      <c r="B84" s="11" t="str">
        <f aca="false">IFERROR(INDEX(Overall!$B$2:$B$1000,MATCH("CF|83",Overall!$I$2:$I$1000,0)),"")</f>
        <v/>
      </c>
      <c r="C84" s="19" t="str">
        <f aca="false">IFERROR(INDEX(Overall!$F$2:$F$1000,MATCH("CF|83",Overall!$I$2:$I$1000,0)),"")</f>
        <v/>
      </c>
    </row>
    <row r="85" customFormat="false" ht="15" hidden="false" customHeight="false" outlineLevel="0" collapsed="false">
      <c r="A85" s="22" t="str">
        <f aca="false">IF(B85="","",COUNTIFS(Overall!$C$2:$C$1000,"CF",Overall!$F$2:$F$1000,"&gt;"&amp;C85)+1)</f>
        <v/>
      </c>
      <c r="B85" s="11" t="str">
        <f aca="false">IFERROR(INDEX(Overall!$B$2:$B$1000,MATCH("CF|84",Overall!$I$2:$I$1000,0)),"")</f>
        <v/>
      </c>
      <c r="C85" s="19" t="str">
        <f aca="false">IFERROR(INDEX(Overall!$F$2:$F$1000,MATCH("CF|84",Overall!$I$2:$I$1000,0)),"")</f>
        <v/>
      </c>
    </row>
    <row r="86" customFormat="false" ht="15" hidden="false" customHeight="false" outlineLevel="0" collapsed="false">
      <c r="A86" s="22" t="str">
        <f aca="false">IF(B86="","",COUNTIFS(Overall!$C$2:$C$1000,"CF",Overall!$F$2:$F$1000,"&gt;"&amp;C86)+1)</f>
        <v/>
      </c>
      <c r="B86" s="11" t="str">
        <f aca="false">IFERROR(INDEX(Overall!$B$2:$B$1000,MATCH("CF|85",Overall!$I$2:$I$1000,0)),"")</f>
        <v/>
      </c>
      <c r="C86" s="19" t="str">
        <f aca="false">IFERROR(INDEX(Overall!$F$2:$F$1000,MATCH("CF|85",Overall!$I$2:$I$1000,0)),"")</f>
        <v/>
      </c>
    </row>
    <row r="87" customFormat="false" ht="15" hidden="false" customHeight="false" outlineLevel="0" collapsed="false">
      <c r="A87" s="22" t="str">
        <f aca="false">IF(B87="","",COUNTIFS(Overall!$C$2:$C$1000,"CF",Overall!$F$2:$F$1000,"&gt;"&amp;C87)+1)</f>
        <v/>
      </c>
      <c r="B87" s="11" t="str">
        <f aca="false">IFERROR(INDEX(Overall!$B$2:$B$1000,MATCH("CF|86",Overall!$I$2:$I$1000,0)),"")</f>
        <v/>
      </c>
      <c r="C87" s="19" t="str">
        <f aca="false">IFERROR(INDEX(Overall!$F$2:$F$1000,MATCH("CF|86",Overall!$I$2:$I$1000,0)),"")</f>
        <v/>
      </c>
    </row>
    <row r="88" customFormat="false" ht="15" hidden="false" customHeight="false" outlineLevel="0" collapsed="false">
      <c r="A88" s="22" t="str">
        <f aca="false">IF(B88="","",COUNTIFS(Overall!$C$2:$C$1000,"CF",Overall!$F$2:$F$1000,"&gt;"&amp;C88)+1)</f>
        <v/>
      </c>
      <c r="B88" s="11" t="str">
        <f aca="false">IFERROR(INDEX(Overall!$B$2:$B$1000,MATCH("CF|87",Overall!$I$2:$I$1000,0)),"")</f>
        <v/>
      </c>
      <c r="C88" s="19" t="str">
        <f aca="false">IFERROR(INDEX(Overall!$F$2:$F$1000,MATCH("CF|87",Overall!$I$2:$I$1000,0)),"")</f>
        <v/>
      </c>
    </row>
    <row r="89" customFormat="false" ht="15" hidden="false" customHeight="false" outlineLevel="0" collapsed="false">
      <c r="A89" s="22" t="str">
        <f aca="false">IF(B89="","",COUNTIFS(Overall!$C$2:$C$1000,"CF",Overall!$F$2:$F$1000,"&gt;"&amp;C89)+1)</f>
        <v/>
      </c>
      <c r="B89" s="11" t="str">
        <f aca="false">IFERROR(INDEX(Overall!$B$2:$B$1000,MATCH("CF|88",Overall!$I$2:$I$1000,0)),"")</f>
        <v/>
      </c>
      <c r="C89" s="19" t="str">
        <f aca="false">IFERROR(INDEX(Overall!$F$2:$F$1000,MATCH("CF|88",Overall!$I$2:$I$1000,0)),"")</f>
        <v/>
      </c>
    </row>
    <row r="90" customFormat="false" ht="15" hidden="false" customHeight="false" outlineLevel="0" collapsed="false">
      <c r="A90" s="22" t="str">
        <f aca="false">IF(B90="","",COUNTIFS(Overall!$C$2:$C$1000,"CF",Overall!$F$2:$F$1000,"&gt;"&amp;C90)+1)</f>
        <v/>
      </c>
      <c r="B90" s="11" t="str">
        <f aca="false">IFERROR(INDEX(Overall!$B$2:$B$1000,MATCH("CF|89",Overall!$I$2:$I$1000,0)),"")</f>
        <v/>
      </c>
      <c r="C90" s="19" t="str">
        <f aca="false">IFERROR(INDEX(Overall!$F$2:$F$1000,MATCH("CF|89",Overall!$I$2:$I$1000,0)),"")</f>
        <v/>
      </c>
    </row>
    <row r="91" customFormat="false" ht="15" hidden="false" customHeight="false" outlineLevel="0" collapsed="false">
      <c r="A91" s="22" t="str">
        <f aca="false">IF(B91="","",COUNTIFS(Overall!$C$2:$C$1000,"CF",Overall!$F$2:$F$1000,"&gt;"&amp;C91)+1)</f>
        <v/>
      </c>
      <c r="B91" s="11" t="str">
        <f aca="false">IFERROR(INDEX(Overall!$B$2:$B$1000,MATCH("CF|90",Overall!$I$2:$I$1000,0)),"")</f>
        <v/>
      </c>
      <c r="C91" s="19" t="str">
        <f aca="false">IFERROR(INDEX(Overall!$F$2:$F$1000,MATCH("CF|90",Overall!$I$2:$I$1000,0)),"")</f>
        <v/>
      </c>
    </row>
    <row r="92" customFormat="false" ht="15" hidden="false" customHeight="false" outlineLevel="0" collapsed="false">
      <c r="A92" s="22" t="str">
        <f aca="false">IF(B92="","",COUNTIFS(Overall!$C$2:$C$1000,"CF",Overall!$F$2:$F$1000,"&gt;"&amp;C92)+1)</f>
        <v/>
      </c>
      <c r="B92" s="11" t="str">
        <f aca="false">IFERROR(INDEX(Overall!$B$2:$B$1000,MATCH("CF|91",Overall!$I$2:$I$1000,0)),"")</f>
        <v/>
      </c>
      <c r="C92" s="19" t="str">
        <f aca="false">IFERROR(INDEX(Overall!$F$2:$F$1000,MATCH("CF|91",Overall!$I$2:$I$1000,0)),"")</f>
        <v/>
      </c>
    </row>
    <row r="93" customFormat="false" ht="15" hidden="false" customHeight="false" outlineLevel="0" collapsed="false">
      <c r="A93" s="22" t="str">
        <f aca="false">IF(B93="","",COUNTIFS(Overall!$C$2:$C$1000,"CF",Overall!$F$2:$F$1000,"&gt;"&amp;C93)+1)</f>
        <v/>
      </c>
      <c r="B93" s="11" t="str">
        <f aca="false">IFERROR(INDEX(Overall!$B$2:$B$1000,MATCH("CF|92",Overall!$I$2:$I$1000,0)),"")</f>
        <v/>
      </c>
      <c r="C93" s="19" t="str">
        <f aca="false">IFERROR(INDEX(Overall!$F$2:$F$1000,MATCH("CF|92",Overall!$I$2:$I$1000,0)),"")</f>
        <v/>
      </c>
    </row>
    <row r="94" customFormat="false" ht="15" hidden="false" customHeight="false" outlineLevel="0" collapsed="false">
      <c r="A94" s="22" t="str">
        <f aca="false">IF(B94="","",COUNTIFS(Overall!$C$2:$C$1000,"CF",Overall!$F$2:$F$1000,"&gt;"&amp;C94)+1)</f>
        <v/>
      </c>
      <c r="B94" s="11" t="str">
        <f aca="false">IFERROR(INDEX(Overall!$B$2:$B$1000,MATCH("CF|93",Overall!$I$2:$I$1000,0)),"")</f>
        <v/>
      </c>
      <c r="C94" s="19" t="str">
        <f aca="false">IFERROR(INDEX(Overall!$F$2:$F$1000,MATCH("CF|93",Overall!$I$2:$I$1000,0)),"")</f>
        <v/>
      </c>
    </row>
    <row r="95" customFormat="false" ht="15" hidden="false" customHeight="false" outlineLevel="0" collapsed="false">
      <c r="A95" s="22" t="str">
        <f aca="false">IF(B95="","",COUNTIFS(Overall!$C$2:$C$1000,"CF",Overall!$F$2:$F$1000,"&gt;"&amp;C95)+1)</f>
        <v/>
      </c>
      <c r="B95" s="11" t="str">
        <f aca="false">IFERROR(INDEX(Overall!$B$2:$B$1000,MATCH("CF|94",Overall!$I$2:$I$1000,0)),"")</f>
        <v/>
      </c>
      <c r="C95" s="19" t="str">
        <f aca="false">IFERROR(INDEX(Overall!$F$2:$F$1000,MATCH("CF|94",Overall!$I$2:$I$1000,0)),"")</f>
        <v/>
      </c>
    </row>
    <row r="96" customFormat="false" ht="15" hidden="false" customHeight="false" outlineLevel="0" collapsed="false">
      <c r="A96" s="22" t="str">
        <f aca="false">IF(B96="","",COUNTIFS(Overall!$C$2:$C$1000,"CF",Overall!$F$2:$F$1000,"&gt;"&amp;C96)+1)</f>
        <v/>
      </c>
      <c r="B96" s="11" t="str">
        <f aca="false">IFERROR(INDEX(Overall!$B$2:$B$1000,MATCH("CF|95",Overall!$I$2:$I$1000,0)),"")</f>
        <v/>
      </c>
      <c r="C96" s="19" t="str">
        <f aca="false">IFERROR(INDEX(Overall!$F$2:$F$1000,MATCH("CF|95",Overall!$I$2:$I$1000,0)),"")</f>
        <v/>
      </c>
    </row>
    <row r="97" customFormat="false" ht="15" hidden="false" customHeight="false" outlineLevel="0" collapsed="false">
      <c r="A97" s="22" t="str">
        <f aca="false">IF(B97="","",COUNTIFS(Overall!$C$2:$C$1000,"CF",Overall!$F$2:$F$1000,"&gt;"&amp;C97)+1)</f>
        <v/>
      </c>
      <c r="B97" s="11" t="str">
        <f aca="false">IFERROR(INDEX(Overall!$B$2:$B$1000,MATCH("CF|96",Overall!$I$2:$I$1000,0)),"")</f>
        <v/>
      </c>
      <c r="C97" s="19" t="str">
        <f aca="false">IFERROR(INDEX(Overall!$F$2:$F$1000,MATCH("CF|96",Overall!$I$2:$I$1000,0)),"")</f>
        <v/>
      </c>
    </row>
    <row r="98" customFormat="false" ht="15" hidden="false" customHeight="false" outlineLevel="0" collapsed="false">
      <c r="A98" s="22" t="str">
        <f aca="false">IF(B98="","",COUNTIFS(Overall!$C$2:$C$1000,"CF",Overall!$F$2:$F$1000,"&gt;"&amp;C98)+1)</f>
        <v/>
      </c>
      <c r="B98" s="11" t="str">
        <f aca="false">IFERROR(INDEX(Overall!$B$2:$B$1000,MATCH("CF|97",Overall!$I$2:$I$1000,0)),"")</f>
        <v/>
      </c>
      <c r="C98" s="19" t="str">
        <f aca="false">IFERROR(INDEX(Overall!$F$2:$F$1000,MATCH("CF|97",Overall!$I$2:$I$1000,0)),"")</f>
        <v/>
      </c>
    </row>
    <row r="99" customFormat="false" ht="15" hidden="false" customHeight="false" outlineLevel="0" collapsed="false">
      <c r="A99" s="22" t="str">
        <f aca="false">IF(B99="","",COUNTIFS(Overall!$C$2:$C$1000,"CF",Overall!$F$2:$F$1000,"&gt;"&amp;C99)+1)</f>
        <v/>
      </c>
      <c r="B99" s="11" t="str">
        <f aca="false">IFERROR(INDEX(Overall!$B$2:$B$1000,MATCH("CF|98",Overall!$I$2:$I$1000,0)),"")</f>
        <v/>
      </c>
      <c r="C99" s="19" t="str">
        <f aca="false">IFERROR(INDEX(Overall!$F$2:$F$1000,MATCH("CF|98",Overall!$I$2:$I$1000,0)),"")</f>
        <v/>
      </c>
    </row>
    <row r="100" customFormat="false" ht="15" hidden="false" customHeight="false" outlineLevel="0" collapsed="false">
      <c r="A100" s="22" t="str">
        <f aca="false">IF(B100="","",COUNTIFS(Overall!$C$2:$C$1000,"CF",Overall!$F$2:$F$1000,"&gt;"&amp;C100)+1)</f>
        <v/>
      </c>
      <c r="B100" s="11" t="str">
        <f aca="false">IFERROR(INDEX(Overall!$B$2:$B$1000,MATCH("CF|99",Overall!$I$2:$I$1000,0)),"")</f>
        <v/>
      </c>
      <c r="C100" s="19" t="str">
        <f aca="false">IFERROR(INDEX(Overall!$F$2:$F$1000,MATCH("CF|99",Overall!$I$2:$I$1000,0)),"")</f>
        <v/>
      </c>
    </row>
    <row r="101" customFormat="false" ht="15" hidden="false" customHeight="false" outlineLevel="0" collapsed="false">
      <c r="A101" s="22" t="str">
        <f aca="false">IF(B101="","",COUNTIFS(Overall!$C$2:$C$1000,"CF",Overall!$F$2:$F$1000,"&gt;"&amp;C101)+1)</f>
        <v/>
      </c>
      <c r="B101" s="11" t="str">
        <f aca="false">IFERROR(INDEX(Overall!$B$2:$B$1000,MATCH("CF|100",Overall!$I$2:$I$1000,0)),"")</f>
        <v/>
      </c>
      <c r="C101" s="19" t="str">
        <f aca="false">IFERROR(INDEX(Overall!$F$2:$F$1000,MATCH("CF|100",Overall!$I$2:$I$1000,0)),"")</f>
        <v/>
      </c>
    </row>
    <row r="102" customFormat="false" ht="15" hidden="false" customHeight="false" outlineLevel="0" collapsed="false">
      <c r="A102" s="22" t="str">
        <f aca="false">IF(B102="","",COUNTIFS(Overall!$C$2:$C$1000,"CF",Overall!$F$2:$F$1000,"&gt;"&amp;C102)+1)</f>
        <v/>
      </c>
      <c r="B102" s="11" t="str">
        <f aca="false">IFERROR(INDEX(Overall!$B$2:$B$1000,MATCH("CF|101",Overall!$I$2:$I$1000,0)),"")</f>
        <v/>
      </c>
      <c r="C102" s="19" t="str">
        <f aca="false">IFERROR(INDEX(Overall!$F$2:$F$1000,MATCH("CF|101",Overall!$I$2:$I$1000,0)),"")</f>
        <v/>
      </c>
    </row>
    <row r="103" customFormat="false" ht="15" hidden="false" customHeight="false" outlineLevel="0" collapsed="false">
      <c r="A103" s="22" t="str">
        <f aca="false">IF(B103="","",COUNTIFS(Overall!$C$2:$C$1000,"CF",Overall!$F$2:$F$1000,"&gt;"&amp;C103)+1)</f>
        <v/>
      </c>
      <c r="B103" s="11" t="str">
        <f aca="false">IFERROR(INDEX(Overall!$B$2:$B$1000,MATCH("CF|102",Overall!$I$2:$I$1000,0)),"")</f>
        <v/>
      </c>
      <c r="C103" s="19" t="str">
        <f aca="false">IFERROR(INDEX(Overall!$F$2:$F$1000,MATCH("CF|102",Overall!$I$2:$I$1000,0)),"")</f>
        <v/>
      </c>
    </row>
    <row r="104" customFormat="false" ht="15" hidden="false" customHeight="false" outlineLevel="0" collapsed="false">
      <c r="A104" s="22" t="str">
        <f aca="false">IF(B104="","",COUNTIFS(Overall!$C$2:$C$1000,"CF",Overall!$F$2:$F$1000,"&gt;"&amp;C104)+1)</f>
        <v/>
      </c>
      <c r="B104" s="11" t="str">
        <f aca="false">IFERROR(INDEX(Overall!$B$2:$B$1000,MATCH("CF|103",Overall!$I$2:$I$1000,0)),"")</f>
        <v/>
      </c>
      <c r="C104" s="19" t="str">
        <f aca="false">IFERROR(INDEX(Overall!$F$2:$F$1000,MATCH("CF|103",Overall!$I$2:$I$1000,0)),"")</f>
        <v/>
      </c>
    </row>
    <row r="105" customFormat="false" ht="15" hidden="false" customHeight="false" outlineLevel="0" collapsed="false">
      <c r="A105" s="22" t="str">
        <f aca="false">IF(B105="","",COUNTIFS(Overall!$C$2:$C$1000,"CF",Overall!$F$2:$F$1000,"&gt;"&amp;C105)+1)</f>
        <v/>
      </c>
      <c r="B105" s="11" t="str">
        <f aca="false">IFERROR(INDEX(Overall!$B$2:$B$1000,MATCH("CF|104",Overall!$I$2:$I$1000,0)),"")</f>
        <v/>
      </c>
      <c r="C105" s="19" t="str">
        <f aca="false">IFERROR(INDEX(Overall!$F$2:$F$1000,MATCH("CF|104",Overall!$I$2:$I$1000,0)),"")</f>
        <v/>
      </c>
    </row>
    <row r="106" customFormat="false" ht="15" hidden="false" customHeight="false" outlineLevel="0" collapsed="false">
      <c r="A106" s="22" t="str">
        <f aca="false">IF(B106="","",COUNTIFS(Overall!$C$2:$C$1000,"CF",Overall!$F$2:$F$1000,"&gt;"&amp;C106)+1)</f>
        <v/>
      </c>
      <c r="B106" s="11" t="str">
        <f aca="false">IFERROR(INDEX(Overall!$B$2:$B$1000,MATCH("CF|105",Overall!$I$2:$I$1000,0)),"")</f>
        <v/>
      </c>
      <c r="C106" s="19" t="str">
        <f aca="false">IFERROR(INDEX(Overall!$F$2:$F$1000,MATCH("CF|105",Overall!$I$2:$I$1000,0)),"")</f>
        <v/>
      </c>
    </row>
    <row r="107" customFormat="false" ht="15" hidden="false" customHeight="false" outlineLevel="0" collapsed="false">
      <c r="A107" s="22" t="str">
        <f aca="false">IF(B107="","",COUNTIFS(Overall!$C$2:$C$1000,"CF",Overall!$F$2:$F$1000,"&gt;"&amp;C107)+1)</f>
        <v/>
      </c>
      <c r="B107" s="11" t="str">
        <f aca="false">IFERROR(INDEX(Overall!$B$2:$B$1000,MATCH("CF|106",Overall!$I$2:$I$1000,0)),"")</f>
        <v/>
      </c>
      <c r="C107" s="19" t="str">
        <f aca="false">IFERROR(INDEX(Overall!$F$2:$F$1000,MATCH("CF|106",Overall!$I$2:$I$1000,0)),"")</f>
        <v/>
      </c>
    </row>
    <row r="108" customFormat="false" ht="15" hidden="false" customHeight="false" outlineLevel="0" collapsed="false">
      <c r="A108" s="22" t="str">
        <f aca="false">IF(B108="","",COUNTIFS(Overall!$C$2:$C$1000,"CF",Overall!$F$2:$F$1000,"&gt;"&amp;C108)+1)</f>
        <v/>
      </c>
      <c r="B108" s="11" t="str">
        <f aca="false">IFERROR(INDEX(Overall!$B$2:$B$1000,MATCH("CF|107",Overall!$I$2:$I$1000,0)),"")</f>
        <v/>
      </c>
      <c r="C108" s="19" t="str">
        <f aca="false">IFERROR(INDEX(Overall!$F$2:$F$1000,MATCH("CF|107",Overall!$I$2:$I$1000,0)),"")</f>
        <v/>
      </c>
    </row>
    <row r="109" customFormat="false" ht="15" hidden="false" customHeight="false" outlineLevel="0" collapsed="false">
      <c r="A109" s="22" t="str">
        <f aca="false">IF(B109="","",COUNTIFS(Overall!$C$2:$C$1000,"CF",Overall!$F$2:$F$1000,"&gt;"&amp;C109)+1)</f>
        <v/>
      </c>
      <c r="B109" s="11" t="str">
        <f aca="false">IFERROR(INDEX(Overall!$B$2:$B$1000,MATCH("CF|108",Overall!$I$2:$I$1000,0)),"")</f>
        <v/>
      </c>
      <c r="C109" s="19" t="str">
        <f aca="false">IFERROR(INDEX(Overall!$F$2:$F$1000,MATCH("CF|108",Overall!$I$2:$I$1000,0)),"")</f>
        <v/>
      </c>
    </row>
    <row r="110" customFormat="false" ht="15" hidden="false" customHeight="false" outlineLevel="0" collapsed="false">
      <c r="A110" s="22" t="str">
        <f aca="false">IF(B110="","",COUNTIFS(Overall!$C$2:$C$1000,"CF",Overall!$F$2:$F$1000,"&gt;"&amp;C110)+1)</f>
        <v/>
      </c>
      <c r="B110" s="11" t="str">
        <f aca="false">IFERROR(INDEX(Overall!$B$2:$B$1000,MATCH("CF|109",Overall!$I$2:$I$1000,0)),"")</f>
        <v/>
      </c>
      <c r="C110" s="19" t="str">
        <f aca="false">IFERROR(INDEX(Overall!$F$2:$F$1000,MATCH("CF|109",Overall!$I$2:$I$1000,0)),"")</f>
        <v/>
      </c>
    </row>
    <row r="111" customFormat="false" ht="15" hidden="false" customHeight="false" outlineLevel="0" collapsed="false">
      <c r="A111" s="22" t="str">
        <f aca="false">IF(B111="","",COUNTIFS(Overall!$C$2:$C$1000,"CF",Overall!$F$2:$F$1000,"&gt;"&amp;C111)+1)</f>
        <v/>
      </c>
      <c r="B111" s="11" t="str">
        <f aca="false">IFERROR(INDEX(Overall!$B$2:$B$1000,MATCH("CF|110",Overall!$I$2:$I$1000,0)),"")</f>
        <v/>
      </c>
      <c r="C111" s="19" t="str">
        <f aca="false">IFERROR(INDEX(Overall!$F$2:$F$1000,MATCH("CF|110",Overall!$I$2:$I$1000,0)),"")</f>
        <v/>
      </c>
    </row>
    <row r="112" customFormat="false" ht="15" hidden="false" customHeight="false" outlineLevel="0" collapsed="false">
      <c r="A112" s="22" t="str">
        <f aca="false">IF(B112="","",COUNTIFS(Overall!$C$2:$C$1000,"CF",Overall!$F$2:$F$1000,"&gt;"&amp;C112)+1)</f>
        <v/>
      </c>
      <c r="B112" s="11" t="str">
        <f aca="false">IFERROR(INDEX(Overall!$B$2:$B$1000,MATCH("CF|111",Overall!$I$2:$I$1000,0)),"")</f>
        <v/>
      </c>
      <c r="C112" s="19" t="str">
        <f aca="false">IFERROR(INDEX(Overall!$F$2:$F$1000,MATCH("CF|111",Overall!$I$2:$I$1000,0)),"")</f>
        <v/>
      </c>
    </row>
    <row r="113" customFormat="false" ht="15" hidden="false" customHeight="false" outlineLevel="0" collapsed="false">
      <c r="A113" s="22" t="str">
        <f aca="false">IF(B113="","",COUNTIFS(Overall!$C$2:$C$1000,"CF",Overall!$F$2:$F$1000,"&gt;"&amp;C113)+1)</f>
        <v/>
      </c>
      <c r="B113" s="11" t="str">
        <f aca="false">IFERROR(INDEX(Overall!$B$2:$B$1000,MATCH("CF|112",Overall!$I$2:$I$1000,0)),"")</f>
        <v/>
      </c>
      <c r="C113" s="19" t="str">
        <f aca="false">IFERROR(INDEX(Overall!$F$2:$F$1000,MATCH("CF|112",Overall!$I$2:$I$1000,0)),"")</f>
        <v/>
      </c>
    </row>
    <row r="114" customFormat="false" ht="15" hidden="false" customHeight="false" outlineLevel="0" collapsed="false">
      <c r="A114" s="22" t="str">
        <f aca="false">IF(B114="","",COUNTIFS(Overall!$C$2:$C$1000,"CF",Overall!$F$2:$F$1000,"&gt;"&amp;C114)+1)</f>
        <v/>
      </c>
      <c r="B114" s="11" t="str">
        <f aca="false">IFERROR(INDEX(Overall!$B$2:$B$1000,MATCH("CF|113",Overall!$I$2:$I$1000,0)),"")</f>
        <v/>
      </c>
      <c r="C114" s="19" t="str">
        <f aca="false">IFERROR(INDEX(Overall!$F$2:$F$1000,MATCH("CF|113",Overall!$I$2:$I$1000,0)),"")</f>
        <v/>
      </c>
    </row>
    <row r="115" customFormat="false" ht="15" hidden="false" customHeight="false" outlineLevel="0" collapsed="false">
      <c r="A115" s="22" t="str">
        <f aca="false">IF(B115="","",COUNTIFS(Overall!$C$2:$C$1000,"CF",Overall!$F$2:$F$1000,"&gt;"&amp;C115)+1)</f>
        <v/>
      </c>
      <c r="B115" s="11" t="str">
        <f aca="false">IFERROR(INDEX(Overall!$B$2:$B$1000,MATCH("CF|114",Overall!$I$2:$I$1000,0)),"")</f>
        <v/>
      </c>
      <c r="C115" s="19" t="str">
        <f aca="false">IFERROR(INDEX(Overall!$F$2:$F$1000,MATCH("CF|114",Overall!$I$2:$I$1000,0)),"")</f>
        <v/>
      </c>
    </row>
    <row r="116" customFormat="false" ht="15" hidden="false" customHeight="false" outlineLevel="0" collapsed="false">
      <c r="A116" s="22" t="str">
        <f aca="false">IF(B116="","",COUNTIFS(Overall!$C$2:$C$1000,"CF",Overall!$F$2:$F$1000,"&gt;"&amp;C116)+1)</f>
        <v/>
      </c>
      <c r="B116" s="11" t="str">
        <f aca="false">IFERROR(INDEX(Overall!$B$2:$B$1000,MATCH("CF|115",Overall!$I$2:$I$1000,0)),"")</f>
        <v/>
      </c>
      <c r="C116" s="19" t="str">
        <f aca="false">IFERROR(INDEX(Overall!$F$2:$F$1000,MATCH("CF|115",Overall!$I$2:$I$1000,0)),"")</f>
        <v/>
      </c>
    </row>
    <row r="117" customFormat="false" ht="15" hidden="false" customHeight="false" outlineLevel="0" collapsed="false">
      <c r="A117" s="22" t="str">
        <f aca="false">IF(B117="","",COUNTIFS(Overall!$C$2:$C$1000,"CF",Overall!$F$2:$F$1000,"&gt;"&amp;C117)+1)</f>
        <v/>
      </c>
      <c r="B117" s="11" t="str">
        <f aca="false">IFERROR(INDEX(Overall!$B$2:$B$1000,MATCH("CF|116",Overall!$I$2:$I$1000,0)),"")</f>
        <v/>
      </c>
      <c r="C117" s="19" t="str">
        <f aca="false">IFERROR(INDEX(Overall!$F$2:$F$1000,MATCH("CF|116",Overall!$I$2:$I$1000,0)),"")</f>
        <v/>
      </c>
    </row>
    <row r="118" customFormat="false" ht="15" hidden="false" customHeight="false" outlineLevel="0" collapsed="false">
      <c r="A118" s="22" t="str">
        <f aca="false">IF(B118="","",COUNTIFS(Overall!$C$2:$C$1000,"CF",Overall!$F$2:$F$1000,"&gt;"&amp;C118)+1)</f>
        <v/>
      </c>
      <c r="B118" s="11" t="str">
        <f aca="false">IFERROR(INDEX(Overall!$B$2:$B$1000,MATCH("CF|117",Overall!$I$2:$I$1000,0)),"")</f>
        <v/>
      </c>
      <c r="C118" s="19" t="str">
        <f aca="false">IFERROR(INDEX(Overall!$F$2:$F$1000,MATCH("CF|117",Overall!$I$2:$I$1000,0)),"")</f>
        <v/>
      </c>
    </row>
    <row r="119" customFormat="false" ht="15" hidden="false" customHeight="false" outlineLevel="0" collapsed="false">
      <c r="A119" s="22" t="str">
        <f aca="false">IF(B119="","",COUNTIFS(Overall!$C$2:$C$1000,"CF",Overall!$F$2:$F$1000,"&gt;"&amp;C119)+1)</f>
        <v/>
      </c>
      <c r="B119" s="11" t="str">
        <f aca="false">IFERROR(INDEX(Overall!$B$2:$B$1000,MATCH("CF|118",Overall!$I$2:$I$1000,0)),"")</f>
        <v/>
      </c>
      <c r="C119" s="19" t="str">
        <f aca="false">IFERROR(INDEX(Overall!$F$2:$F$1000,MATCH("CF|118",Overall!$I$2:$I$1000,0)),"")</f>
        <v/>
      </c>
    </row>
    <row r="120" customFormat="false" ht="15" hidden="false" customHeight="false" outlineLevel="0" collapsed="false">
      <c r="A120" s="22" t="str">
        <f aca="false">IF(B120="","",COUNTIFS(Overall!$C$2:$C$1000,"CF",Overall!$F$2:$F$1000,"&gt;"&amp;C120)+1)</f>
        <v/>
      </c>
      <c r="B120" s="11" t="str">
        <f aca="false">IFERROR(INDEX(Overall!$B$2:$B$1000,MATCH("CF|119",Overall!$I$2:$I$1000,0)),"")</f>
        <v/>
      </c>
      <c r="C120" s="19" t="str">
        <f aca="false">IFERROR(INDEX(Overall!$F$2:$F$1000,MATCH("CF|119",Overall!$I$2:$I$1000,0)),"")</f>
        <v/>
      </c>
    </row>
    <row r="121" customFormat="false" ht="15" hidden="false" customHeight="false" outlineLevel="0" collapsed="false">
      <c r="A121" s="22" t="str">
        <f aca="false">IF(B121="","",COUNTIFS(Overall!$C$2:$C$1000,"CF",Overall!$F$2:$F$1000,"&gt;"&amp;C121)+1)</f>
        <v/>
      </c>
      <c r="B121" s="11" t="str">
        <f aca="false">IFERROR(INDEX(Overall!$B$2:$B$1000,MATCH("CF|120",Overall!$I$2:$I$1000,0)),"")</f>
        <v/>
      </c>
      <c r="C121" s="19" t="str">
        <f aca="false">IFERROR(INDEX(Overall!$F$2:$F$1000,MATCH("CF|120",Overall!$I$2:$I$1000,0)),"")</f>
        <v/>
      </c>
    </row>
    <row r="122" customFormat="false" ht="15" hidden="false" customHeight="false" outlineLevel="0" collapsed="false">
      <c r="A122" s="22" t="str">
        <f aca="false">IF(B122="","",COUNTIFS(Overall!$C$2:$C$1000,"CF",Overall!$F$2:$F$1000,"&gt;"&amp;C122)+1)</f>
        <v/>
      </c>
      <c r="B122" s="11" t="str">
        <f aca="false">IFERROR(INDEX(Overall!$B$2:$B$1000,MATCH("CF|121",Overall!$I$2:$I$1000,0)),"")</f>
        <v/>
      </c>
      <c r="C122" s="19" t="str">
        <f aca="false">IFERROR(INDEX(Overall!$F$2:$F$1000,MATCH("CF|121",Overall!$I$2:$I$1000,0)),"")</f>
        <v/>
      </c>
    </row>
    <row r="123" customFormat="false" ht="15" hidden="false" customHeight="false" outlineLevel="0" collapsed="false">
      <c r="A123" s="22" t="str">
        <f aca="false">IF(B123="","",COUNTIFS(Overall!$C$2:$C$1000,"CF",Overall!$F$2:$F$1000,"&gt;"&amp;C123)+1)</f>
        <v/>
      </c>
      <c r="B123" s="11" t="str">
        <f aca="false">IFERROR(INDEX(Overall!$B$2:$B$1000,MATCH("CF|122",Overall!$I$2:$I$1000,0)),"")</f>
        <v/>
      </c>
      <c r="C123" s="19" t="str">
        <f aca="false">IFERROR(INDEX(Overall!$F$2:$F$1000,MATCH("CF|122",Overall!$I$2:$I$1000,0)),"")</f>
        <v/>
      </c>
    </row>
    <row r="124" customFormat="false" ht="15" hidden="false" customHeight="false" outlineLevel="0" collapsed="false">
      <c r="A124" s="22" t="str">
        <f aca="false">IF(B124="","",COUNTIFS(Overall!$C$2:$C$1000,"CF",Overall!$F$2:$F$1000,"&gt;"&amp;C124)+1)</f>
        <v/>
      </c>
      <c r="B124" s="11" t="str">
        <f aca="false">IFERROR(INDEX(Overall!$B$2:$B$1000,MATCH("CF|123",Overall!$I$2:$I$1000,0)),"")</f>
        <v/>
      </c>
      <c r="C124" s="19" t="str">
        <f aca="false">IFERROR(INDEX(Overall!$F$2:$F$1000,MATCH("CF|123",Overall!$I$2:$I$1000,0)),"")</f>
        <v/>
      </c>
    </row>
    <row r="125" customFormat="false" ht="15" hidden="false" customHeight="false" outlineLevel="0" collapsed="false">
      <c r="A125" s="22" t="str">
        <f aca="false">IF(B125="","",COUNTIFS(Overall!$C$2:$C$1000,"CF",Overall!$F$2:$F$1000,"&gt;"&amp;C125)+1)</f>
        <v/>
      </c>
      <c r="B125" s="11" t="str">
        <f aca="false">IFERROR(INDEX(Overall!$B$2:$B$1000,MATCH("CF|124",Overall!$I$2:$I$1000,0)),"")</f>
        <v/>
      </c>
      <c r="C125" s="19" t="str">
        <f aca="false">IFERROR(INDEX(Overall!$F$2:$F$1000,MATCH("CF|124",Overall!$I$2:$I$1000,0)),"")</f>
        <v/>
      </c>
    </row>
    <row r="126" customFormat="false" ht="15" hidden="false" customHeight="false" outlineLevel="0" collapsed="false">
      <c r="A126" s="22" t="str">
        <f aca="false">IF(B126="","",COUNTIFS(Overall!$C$2:$C$1000,"CF",Overall!$F$2:$F$1000,"&gt;"&amp;C126)+1)</f>
        <v/>
      </c>
      <c r="B126" s="11" t="str">
        <f aca="false">IFERROR(INDEX(Overall!$B$2:$B$1000,MATCH("CF|125",Overall!$I$2:$I$1000,0)),"")</f>
        <v/>
      </c>
      <c r="C126" s="19" t="str">
        <f aca="false">IFERROR(INDEX(Overall!$F$2:$F$1000,MATCH("CF|125",Overall!$I$2:$I$1000,0)),"")</f>
        <v/>
      </c>
    </row>
    <row r="127" customFormat="false" ht="15" hidden="false" customHeight="false" outlineLevel="0" collapsed="false">
      <c r="A127" s="22" t="str">
        <f aca="false">IF(B127="","",COUNTIFS(Overall!$C$2:$C$1000,"CF",Overall!$F$2:$F$1000,"&gt;"&amp;C127)+1)</f>
        <v/>
      </c>
      <c r="B127" s="11" t="str">
        <f aca="false">IFERROR(INDEX(Overall!$B$2:$B$1000,MATCH("CF|126",Overall!$I$2:$I$1000,0)),"")</f>
        <v/>
      </c>
      <c r="C127" s="19" t="str">
        <f aca="false">IFERROR(INDEX(Overall!$F$2:$F$1000,MATCH("CF|126",Overall!$I$2:$I$1000,0)),"")</f>
        <v/>
      </c>
    </row>
    <row r="128" customFormat="false" ht="15" hidden="false" customHeight="false" outlineLevel="0" collapsed="false">
      <c r="A128" s="22" t="str">
        <f aca="false">IF(B128="","",COUNTIFS(Overall!$C$2:$C$1000,"CF",Overall!$F$2:$F$1000,"&gt;"&amp;C128)+1)</f>
        <v/>
      </c>
      <c r="B128" s="11" t="str">
        <f aca="false">IFERROR(INDEX(Overall!$B$2:$B$1000,MATCH("CF|127",Overall!$I$2:$I$1000,0)),"")</f>
        <v/>
      </c>
      <c r="C128" s="19" t="str">
        <f aca="false">IFERROR(INDEX(Overall!$F$2:$F$1000,MATCH("CF|127",Overall!$I$2:$I$1000,0)),"")</f>
        <v/>
      </c>
    </row>
    <row r="129" customFormat="false" ht="15" hidden="false" customHeight="false" outlineLevel="0" collapsed="false">
      <c r="A129" s="22" t="str">
        <f aca="false">IF(B129="","",COUNTIFS(Overall!$C$2:$C$1000,"CF",Overall!$F$2:$F$1000,"&gt;"&amp;C129)+1)</f>
        <v/>
      </c>
      <c r="B129" s="11" t="str">
        <f aca="false">IFERROR(INDEX(Overall!$B$2:$B$1000,MATCH("CF|128",Overall!$I$2:$I$1000,0)),"")</f>
        <v/>
      </c>
      <c r="C129" s="19" t="str">
        <f aca="false">IFERROR(INDEX(Overall!$F$2:$F$1000,MATCH("CF|128",Overall!$I$2:$I$1000,0)),"")</f>
        <v/>
      </c>
    </row>
    <row r="130" customFormat="false" ht="15" hidden="false" customHeight="false" outlineLevel="0" collapsed="false">
      <c r="A130" s="22" t="str">
        <f aca="false">IF(B130="","",COUNTIFS(Overall!$C$2:$C$1000,"CF",Overall!$F$2:$F$1000,"&gt;"&amp;C130)+1)</f>
        <v/>
      </c>
      <c r="B130" s="11" t="str">
        <f aca="false">IFERROR(INDEX(Overall!$B$2:$B$1000,MATCH("CF|129",Overall!$I$2:$I$1000,0)),"")</f>
        <v/>
      </c>
      <c r="C130" s="19" t="str">
        <f aca="false">IFERROR(INDEX(Overall!$F$2:$F$1000,MATCH("CF|129",Overall!$I$2:$I$1000,0)),"")</f>
        <v/>
      </c>
    </row>
    <row r="131" customFormat="false" ht="15" hidden="false" customHeight="false" outlineLevel="0" collapsed="false">
      <c r="A131" s="22" t="str">
        <f aca="false">IF(B131="","",COUNTIFS(Overall!$C$2:$C$1000,"CF",Overall!$F$2:$F$1000,"&gt;"&amp;C131)+1)</f>
        <v/>
      </c>
      <c r="B131" s="11" t="str">
        <f aca="false">IFERROR(INDEX(Overall!$B$2:$B$1000,MATCH("CF|130",Overall!$I$2:$I$1000,0)),"")</f>
        <v/>
      </c>
      <c r="C131" s="19" t="str">
        <f aca="false">IFERROR(INDEX(Overall!$F$2:$F$1000,MATCH("CF|130",Overall!$I$2:$I$1000,0)),"")</f>
        <v/>
      </c>
    </row>
    <row r="132" customFormat="false" ht="15" hidden="false" customHeight="false" outlineLevel="0" collapsed="false">
      <c r="A132" s="22" t="str">
        <f aca="false">IF(B132="","",COUNTIFS(Overall!$C$2:$C$1000,"CF",Overall!$F$2:$F$1000,"&gt;"&amp;C132)+1)</f>
        <v/>
      </c>
      <c r="B132" s="11" t="str">
        <f aca="false">IFERROR(INDEX(Overall!$B$2:$B$1000,MATCH("CF|131",Overall!$I$2:$I$1000,0)),"")</f>
        <v/>
      </c>
      <c r="C132" s="19" t="str">
        <f aca="false">IFERROR(INDEX(Overall!$F$2:$F$1000,MATCH("CF|131",Overall!$I$2:$I$1000,0)),"")</f>
        <v/>
      </c>
    </row>
    <row r="133" customFormat="false" ht="15" hidden="false" customHeight="false" outlineLevel="0" collapsed="false">
      <c r="A133" s="22" t="str">
        <f aca="false">IF(B133="","",COUNTIFS(Overall!$C$2:$C$1000,"CF",Overall!$F$2:$F$1000,"&gt;"&amp;C133)+1)</f>
        <v/>
      </c>
      <c r="B133" s="11" t="str">
        <f aca="false">IFERROR(INDEX(Overall!$B$2:$B$1000,MATCH("CF|132",Overall!$I$2:$I$1000,0)),"")</f>
        <v/>
      </c>
      <c r="C133" s="19" t="str">
        <f aca="false">IFERROR(INDEX(Overall!$F$2:$F$1000,MATCH("CF|132",Overall!$I$2:$I$1000,0)),"")</f>
        <v/>
      </c>
    </row>
    <row r="134" customFormat="false" ht="15" hidden="false" customHeight="false" outlineLevel="0" collapsed="false">
      <c r="A134" s="22" t="str">
        <f aca="false">IF(B134="","",COUNTIFS(Overall!$C$2:$C$1000,"CF",Overall!$F$2:$F$1000,"&gt;"&amp;C134)+1)</f>
        <v/>
      </c>
      <c r="B134" s="11" t="str">
        <f aca="false">IFERROR(INDEX(Overall!$B$2:$B$1000,MATCH("CF|133",Overall!$I$2:$I$1000,0)),"")</f>
        <v/>
      </c>
      <c r="C134" s="19" t="str">
        <f aca="false">IFERROR(INDEX(Overall!$F$2:$F$1000,MATCH("CF|133",Overall!$I$2:$I$1000,0)),"")</f>
        <v/>
      </c>
    </row>
    <row r="135" customFormat="false" ht="15" hidden="false" customHeight="false" outlineLevel="0" collapsed="false">
      <c r="A135" s="22" t="str">
        <f aca="false">IF(B135="","",COUNTIFS(Overall!$C$2:$C$1000,"CF",Overall!$F$2:$F$1000,"&gt;"&amp;C135)+1)</f>
        <v/>
      </c>
      <c r="B135" s="11" t="str">
        <f aca="false">IFERROR(INDEX(Overall!$B$2:$B$1000,MATCH("CF|134",Overall!$I$2:$I$1000,0)),"")</f>
        <v/>
      </c>
      <c r="C135" s="19" t="str">
        <f aca="false">IFERROR(INDEX(Overall!$F$2:$F$1000,MATCH("CF|134",Overall!$I$2:$I$1000,0)),"")</f>
        <v/>
      </c>
    </row>
    <row r="136" customFormat="false" ht="15" hidden="false" customHeight="false" outlineLevel="0" collapsed="false">
      <c r="A136" s="22" t="str">
        <f aca="false">IF(B136="","",COUNTIFS(Overall!$C$2:$C$1000,"CF",Overall!$F$2:$F$1000,"&gt;"&amp;C136)+1)</f>
        <v/>
      </c>
      <c r="B136" s="11" t="str">
        <f aca="false">IFERROR(INDEX(Overall!$B$2:$B$1000,MATCH("CF|135",Overall!$I$2:$I$1000,0)),"")</f>
        <v/>
      </c>
      <c r="C136" s="19" t="str">
        <f aca="false">IFERROR(INDEX(Overall!$F$2:$F$1000,MATCH("CF|135",Overall!$I$2:$I$1000,0)),"")</f>
        <v/>
      </c>
    </row>
    <row r="137" customFormat="false" ht="15" hidden="false" customHeight="false" outlineLevel="0" collapsed="false">
      <c r="A137" s="22" t="str">
        <f aca="false">IF(B137="","",COUNTIFS(Overall!$C$2:$C$1000,"CF",Overall!$F$2:$F$1000,"&gt;"&amp;C137)+1)</f>
        <v/>
      </c>
      <c r="B137" s="11" t="str">
        <f aca="false">IFERROR(INDEX(Overall!$B$2:$B$1000,MATCH("CF|136",Overall!$I$2:$I$1000,0)),"")</f>
        <v/>
      </c>
      <c r="C137" s="19" t="str">
        <f aca="false">IFERROR(INDEX(Overall!$F$2:$F$1000,MATCH("CF|136",Overall!$I$2:$I$1000,0)),"")</f>
        <v/>
      </c>
    </row>
    <row r="138" customFormat="false" ht="15" hidden="false" customHeight="false" outlineLevel="0" collapsed="false">
      <c r="A138" s="22" t="str">
        <f aca="false">IF(B138="","",COUNTIFS(Overall!$C$2:$C$1000,"CF",Overall!$F$2:$F$1000,"&gt;"&amp;C138)+1)</f>
        <v/>
      </c>
      <c r="B138" s="11" t="str">
        <f aca="false">IFERROR(INDEX(Overall!$B$2:$B$1000,MATCH("CF|137",Overall!$I$2:$I$1000,0)),"")</f>
        <v/>
      </c>
      <c r="C138" s="19" t="str">
        <f aca="false">IFERROR(INDEX(Overall!$F$2:$F$1000,MATCH("CF|137",Overall!$I$2:$I$1000,0)),"")</f>
        <v/>
      </c>
    </row>
    <row r="139" customFormat="false" ht="15" hidden="false" customHeight="false" outlineLevel="0" collapsed="false">
      <c r="A139" s="22" t="str">
        <f aca="false">IF(B139="","",COUNTIFS(Overall!$C$2:$C$1000,"CF",Overall!$F$2:$F$1000,"&gt;"&amp;C139)+1)</f>
        <v/>
      </c>
      <c r="B139" s="11" t="str">
        <f aca="false">IFERROR(INDEX(Overall!$B$2:$B$1000,MATCH("CF|138",Overall!$I$2:$I$1000,0)),"")</f>
        <v/>
      </c>
      <c r="C139" s="19" t="str">
        <f aca="false">IFERROR(INDEX(Overall!$F$2:$F$1000,MATCH("CF|138",Overall!$I$2:$I$1000,0)),"")</f>
        <v/>
      </c>
    </row>
    <row r="140" customFormat="false" ht="15" hidden="false" customHeight="false" outlineLevel="0" collapsed="false">
      <c r="A140" s="22" t="str">
        <f aca="false">IF(B140="","",COUNTIFS(Overall!$C$2:$C$1000,"CF",Overall!$F$2:$F$1000,"&gt;"&amp;C140)+1)</f>
        <v/>
      </c>
      <c r="B140" s="11" t="str">
        <f aca="false">IFERROR(INDEX(Overall!$B$2:$B$1000,MATCH("CF|139",Overall!$I$2:$I$1000,0)),"")</f>
        <v/>
      </c>
      <c r="C140" s="19" t="str">
        <f aca="false">IFERROR(INDEX(Overall!$F$2:$F$1000,MATCH("CF|139",Overall!$I$2:$I$1000,0)),"")</f>
        <v/>
      </c>
    </row>
    <row r="141" customFormat="false" ht="15" hidden="false" customHeight="false" outlineLevel="0" collapsed="false">
      <c r="A141" s="22" t="str">
        <f aca="false">IF(B141="","",COUNTIFS(Overall!$C$2:$C$1000,"CF",Overall!$F$2:$F$1000,"&gt;"&amp;C141)+1)</f>
        <v/>
      </c>
      <c r="B141" s="11" t="str">
        <f aca="false">IFERROR(INDEX(Overall!$B$2:$B$1000,MATCH("CF|140",Overall!$I$2:$I$1000,0)),"")</f>
        <v/>
      </c>
      <c r="C141" s="19" t="str">
        <f aca="false">IFERROR(INDEX(Overall!$F$2:$F$1000,MATCH("CF|140",Overall!$I$2:$I$1000,0)),"")</f>
        <v/>
      </c>
    </row>
    <row r="142" customFormat="false" ht="15" hidden="false" customHeight="false" outlineLevel="0" collapsed="false">
      <c r="A142" s="22" t="str">
        <f aca="false">IF(B142="","",COUNTIFS(Overall!$C$2:$C$1000,"CF",Overall!$F$2:$F$1000,"&gt;"&amp;C142)+1)</f>
        <v/>
      </c>
      <c r="B142" s="11" t="str">
        <f aca="false">IFERROR(INDEX(Overall!$B$2:$B$1000,MATCH("CF|141",Overall!$I$2:$I$1000,0)),"")</f>
        <v/>
      </c>
      <c r="C142" s="19" t="str">
        <f aca="false">IFERROR(INDEX(Overall!$F$2:$F$1000,MATCH("CF|141",Overall!$I$2:$I$1000,0)),"")</f>
        <v/>
      </c>
    </row>
    <row r="143" customFormat="false" ht="15" hidden="false" customHeight="false" outlineLevel="0" collapsed="false">
      <c r="A143" s="22" t="str">
        <f aca="false">IF(B143="","",COUNTIFS(Overall!$C$2:$C$1000,"CF",Overall!$F$2:$F$1000,"&gt;"&amp;C143)+1)</f>
        <v/>
      </c>
      <c r="B143" s="11" t="str">
        <f aca="false">IFERROR(INDEX(Overall!$B$2:$B$1000,MATCH("CF|142",Overall!$I$2:$I$1000,0)),"")</f>
        <v/>
      </c>
      <c r="C143" s="19" t="str">
        <f aca="false">IFERROR(INDEX(Overall!$F$2:$F$1000,MATCH("CF|142",Overall!$I$2:$I$1000,0)),"")</f>
        <v/>
      </c>
    </row>
    <row r="144" customFormat="false" ht="15" hidden="false" customHeight="false" outlineLevel="0" collapsed="false">
      <c r="A144" s="22" t="str">
        <f aca="false">IF(B144="","",COUNTIFS(Overall!$C$2:$C$1000,"CF",Overall!$F$2:$F$1000,"&gt;"&amp;C144)+1)</f>
        <v/>
      </c>
      <c r="B144" s="11" t="str">
        <f aca="false">IFERROR(INDEX(Overall!$B$2:$B$1000,MATCH("CF|143",Overall!$I$2:$I$1000,0)),"")</f>
        <v/>
      </c>
      <c r="C144" s="19" t="str">
        <f aca="false">IFERROR(INDEX(Overall!$F$2:$F$1000,MATCH("CF|143",Overall!$I$2:$I$1000,0)),"")</f>
        <v/>
      </c>
    </row>
    <row r="145" customFormat="false" ht="15" hidden="false" customHeight="false" outlineLevel="0" collapsed="false">
      <c r="A145" s="22" t="str">
        <f aca="false">IF(B145="","",COUNTIFS(Overall!$C$2:$C$1000,"CF",Overall!$F$2:$F$1000,"&gt;"&amp;C145)+1)</f>
        <v/>
      </c>
      <c r="B145" s="11" t="str">
        <f aca="false">IFERROR(INDEX(Overall!$B$2:$B$1000,MATCH("CF|144",Overall!$I$2:$I$1000,0)),"")</f>
        <v/>
      </c>
      <c r="C145" s="19" t="str">
        <f aca="false">IFERROR(INDEX(Overall!$F$2:$F$1000,MATCH("CF|144",Overall!$I$2:$I$1000,0)),"")</f>
        <v/>
      </c>
    </row>
    <row r="146" customFormat="false" ht="15" hidden="false" customHeight="false" outlineLevel="0" collapsed="false">
      <c r="A146" s="22" t="str">
        <f aca="false">IF(B146="","",COUNTIFS(Overall!$C$2:$C$1000,"CF",Overall!$F$2:$F$1000,"&gt;"&amp;C146)+1)</f>
        <v/>
      </c>
      <c r="B146" s="11" t="str">
        <f aca="false">IFERROR(INDEX(Overall!$B$2:$B$1000,MATCH("CF|145",Overall!$I$2:$I$1000,0)),"")</f>
        <v/>
      </c>
      <c r="C146" s="19" t="str">
        <f aca="false">IFERROR(INDEX(Overall!$F$2:$F$1000,MATCH("CF|145",Overall!$I$2:$I$1000,0)),"")</f>
        <v/>
      </c>
    </row>
    <row r="147" customFormat="false" ht="15" hidden="false" customHeight="false" outlineLevel="0" collapsed="false">
      <c r="A147" s="22" t="str">
        <f aca="false">IF(B147="","",COUNTIFS(Overall!$C$2:$C$1000,"CF",Overall!$F$2:$F$1000,"&gt;"&amp;C147)+1)</f>
        <v/>
      </c>
      <c r="B147" s="11" t="str">
        <f aca="false">IFERROR(INDEX(Overall!$B$2:$B$1000,MATCH("CF|146",Overall!$I$2:$I$1000,0)),"")</f>
        <v/>
      </c>
      <c r="C147" s="19" t="str">
        <f aca="false">IFERROR(INDEX(Overall!$F$2:$F$1000,MATCH("CF|146",Overall!$I$2:$I$1000,0)),"")</f>
        <v/>
      </c>
    </row>
    <row r="148" customFormat="false" ht="15" hidden="false" customHeight="false" outlineLevel="0" collapsed="false">
      <c r="A148" s="22" t="str">
        <f aca="false">IF(B148="","",COUNTIFS(Overall!$C$2:$C$1000,"CF",Overall!$F$2:$F$1000,"&gt;"&amp;C148)+1)</f>
        <v/>
      </c>
      <c r="B148" s="11" t="str">
        <f aca="false">IFERROR(INDEX(Overall!$B$2:$B$1000,MATCH("CF|147",Overall!$I$2:$I$1000,0)),"")</f>
        <v/>
      </c>
      <c r="C148" s="19" t="str">
        <f aca="false">IFERROR(INDEX(Overall!$F$2:$F$1000,MATCH("CF|147",Overall!$I$2:$I$1000,0)),"")</f>
        <v/>
      </c>
    </row>
    <row r="149" customFormat="false" ht="15" hidden="false" customHeight="false" outlineLevel="0" collapsed="false">
      <c r="A149" s="22" t="str">
        <f aca="false">IF(B149="","",COUNTIFS(Overall!$C$2:$C$1000,"CF",Overall!$F$2:$F$1000,"&gt;"&amp;C149)+1)</f>
        <v/>
      </c>
      <c r="B149" s="11" t="str">
        <f aca="false">IFERROR(INDEX(Overall!$B$2:$B$1000,MATCH("CF|148",Overall!$I$2:$I$1000,0)),"")</f>
        <v/>
      </c>
      <c r="C149" s="19" t="str">
        <f aca="false">IFERROR(INDEX(Overall!$F$2:$F$1000,MATCH("CF|148",Overall!$I$2:$I$1000,0)),"")</f>
        <v/>
      </c>
    </row>
    <row r="150" customFormat="false" ht="15" hidden="false" customHeight="false" outlineLevel="0" collapsed="false">
      <c r="A150" s="22" t="str">
        <f aca="false">IF(B150="","",COUNTIFS(Overall!$C$2:$C$1000,"CF",Overall!$F$2:$F$1000,"&gt;"&amp;C150)+1)</f>
        <v/>
      </c>
      <c r="B150" s="11" t="str">
        <f aca="false">IFERROR(INDEX(Overall!$B$2:$B$1000,MATCH("CF|149",Overall!$I$2:$I$1000,0)),"")</f>
        <v/>
      </c>
      <c r="C150" s="19" t="str">
        <f aca="false">IFERROR(INDEX(Overall!$F$2:$F$1000,MATCH("CF|149",Overall!$I$2:$I$1000,0)),"")</f>
        <v/>
      </c>
    </row>
    <row r="151" customFormat="false" ht="15" hidden="false" customHeight="false" outlineLevel="0" collapsed="false">
      <c r="A151" s="22" t="str">
        <f aca="false">IF(B151="","",COUNTIFS(Overall!$C$2:$C$1000,"CF",Overall!$F$2:$F$1000,"&gt;"&amp;C151)+1)</f>
        <v/>
      </c>
      <c r="B151" s="11" t="str">
        <f aca="false">IFERROR(INDEX(Overall!$B$2:$B$1000,MATCH("CF|150",Overall!$I$2:$I$1000,0)),"")</f>
        <v/>
      </c>
      <c r="C151" s="19" t="str">
        <f aca="false">IFERROR(INDEX(Overall!$F$2:$F$1000,MATCH("CF|150",Overall!$I$2:$I$1000,0)),"")</f>
        <v/>
      </c>
    </row>
  </sheetData>
  <conditionalFormatting sqref="A2:C151">
    <cfRule type="expression" priority="2" aboveAverage="0" equalAverage="0" bottom="0" percent="0" rank="0" text="" dxfId="12">
      <formula>$B2&lt;&gt;""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2026-10-13T23:57:08Z</dcterms:created>
  <dc:creator>openpyxl</dc:creator>
  <dc:description/>
  <dc:language>en-US</dc:language>
  <cp:lastModifiedBy/>
  <dcterms:modified xsi:type="dcterms:W3CDTF">2026-10-13T23:57:08Z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